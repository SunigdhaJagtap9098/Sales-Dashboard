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jagta\OneDrive\Desktop\"/>
    </mc:Choice>
  </mc:AlternateContent>
  <bookViews>
    <workbookView xWindow="0" yWindow="0" windowWidth="19368" windowHeight="9072" activeTab="2"/>
  </bookViews>
  <sheets>
    <sheet name="Sheet2" sheetId="7" r:id="rId1"/>
    <sheet name="Sheet" sheetId="1" r:id="rId2"/>
    <sheet name="Dashboard" sheetId="6" r:id="rId3"/>
  </sheets>
  <definedNames>
    <definedName name="Slicer_category">#N/A</definedName>
    <definedName name="Slicer_Months">#N/A</definedName>
  </definedNames>
  <calcPr calcId="162913"/>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2" i="7" l="1"/>
  <c r="I21" i="7"/>
  <c r="I20" i="7"/>
  <c r="I19" i="7"/>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L10" i="1"/>
  <c r="L42" i="1"/>
  <c r="L43" i="1"/>
  <c r="L44" i="1"/>
  <c r="L45" i="1"/>
  <c r="L46" i="1"/>
  <c r="J2" i="1"/>
  <c r="K2"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L16" i="1" s="1"/>
  <c r="J17" i="1"/>
  <c r="K17" i="1" s="1"/>
  <c r="L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L32" i="1" s="1"/>
  <c r="J33" i="1"/>
  <c r="K33" i="1" s="1"/>
  <c r="L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L48" i="1" s="1"/>
  <c r="J49" i="1"/>
  <c r="K49" i="1" s="1"/>
  <c r="L49" i="1" s="1"/>
  <c r="J50" i="1"/>
  <c r="K50" i="1" s="1"/>
  <c r="J51" i="1"/>
  <c r="K51" i="1" s="1"/>
  <c r="L29" i="1" l="1"/>
  <c r="L26" i="1"/>
  <c r="L15" i="1"/>
  <c r="L14" i="1"/>
  <c r="L31" i="1"/>
  <c r="L30" i="1"/>
  <c r="L28" i="1"/>
  <c r="L27" i="1"/>
  <c r="L13" i="1"/>
  <c r="L12" i="1"/>
  <c r="L47" i="1"/>
  <c r="L11" i="1"/>
  <c r="L41" i="1"/>
  <c r="L25" i="1"/>
  <c r="L40" i="1"/>
  <c r="L8" i="1"/>
  <c r="L39" i="1"/>
  <c r="L7" i="1"/>
  <c r="L38" i="1"/>
  <c r="L6" i="1"/>
  <c r="L37" i="1"/>
  <c r="L5" i="1"/>
  <c r="L36" i="1"/>
  <c r="L4" i="1"/>
  <c r="L51" i="1"/>
  <c r="L35" i="1"/>
  <c r="L19" i="1"/>
  <c r="L3" i="1"/>
  <c r="L9" i="1"/>
  <c r="L24" i="1"/>
  <c r="L23" i="1"/>
  <c r="L22" i="1"/>
  <c r="L21" i="1"/>
  <c r="L20" i="1"/>
  <c r="L50" i="1"/>
  <c r="L34" i="1"/>
  <c r="L18" i="1"/>
  <c r="L2" i="1"/>
</calcChain>
</file>

<file path=xl/sharedStrings.xml><?xml version="1.0" encoding="utf-8"?>
<sst xmlns="http://schemas.openxmlformats.org/spreadsheetml/2006/main" count="321" uniqueCount="167">
  <si>
    <t>date</t>
  </si>
  <si>
    <t>product_id</t>
  </si>
  <si>
    <t>product_name</t>
  </si>
  <si>
    <t>category</t>
  </si>
  <si>
    <t>city</t>
  </si>
  <si>
    <t>state</t>
  </si>
  <si>
    <t>quantity</t>
  </si>
  <si>
    <t>price_per_unit</t>
  </si>
  <si>
    <t>discount_in_percentage</t>
  </si>
  <si>
    <t>P001</t>
  </si>
  <si>
    <t>Laptop</t>
  </si>
  <si>
    <t>Electronics</t>
  </si>
  <si>
    <t>Mumbai</t>
  </si>
  <si>
    <t>Maharashtra</t>
  </si>
  <si>
    <t>P002</t>
  </si>
  <si>
    <t>Smartphone</t>
  </si>
  <si>
    <t>Pune</t>
  </si>
  <si>
    <t>P003</t>
  </si>
  <si>
    <t>Office Chair</t>
  </si>
  <si>
    <t>Furniture</t>
  </si>
  <si>
    <t>Nagpur</t>
  </si>
  <si>
    <t>P004</t>
  </si>
  <si>
    <t>Dining Table</t>
  </si>
  <si>
    <t>Nashik</t>
  </si>
  <si>
    <t>P005</t>
  </si>
  <si>
    <t>Printer</t>
  </si>
  <si>
    <t>Aurangabad</t>
  </si>
  <si>
    <t>P006</t>
  </si>
  <si>
    <t>Mixer</t>
  </si>
  <si>
    <t>Home Appliances</t>
  </si>
  <si>
    <t>Kolhapur</t>
  </si>
  <si>
    <t>P007</t>
  </si>
  <si>
    <t>Air Conditioner</t>
  </si>
  <si>
    <t>Solapur</t>
  </si>
  <si>
    <t>P008</t>
  </si>
  <si>
    <t>Microwave</t>
  </si>
  <si>
    <t>Thane</t>
  </si>
  <si>
    <t>P009</t>
  </si>
  <si>
    <t>Shoes</t>
  </si>
  <si>
    <t>Fashion</t>
  </si>
  <si>
    <t>P010</t>
  </si>
  <si>
    <t>Backpack</t>
  </si>
  <si>
    <t>P011</t>
  </si>
  <si>
    <t>Ahmedabad</t>
  </si>
  <si>
    <t>Gujarat</t>
  </si>
  <si>
    <t>P012</t>
  </si>
  <si>
    <t>Tablet</t>
  </si>
  <si>
    <t>Surat</t>
  </si>
  <si>
    <t>P013</t>
  </si>
  <si>
    <t>Sofa</t>
  </si>
  <si>
    <t>Vadodara</t>
  </si>
  <si>
    <t>P014</t>
  </si>
  <si>
    <t>Study Table</t>
  </si>
  <si>
    <t>Rajkot</t>
  </si>
  <si>
    <t>P015</t>
  </si>
  <si>
    <t>Washing Machine</t>
  </si>
  <si>
    <t>Bhavnagar</t>
  </si>
  <si>
    <t>P016</t>
  </si>
  <si>
    <t>Refrigerator</t>
  </si>
  <si>
    <t>Jamnagar</t>
  </si>
  <si>
    <t>P017</t>
  </si>
  <si>
    <t>Headphones</t>
  </si>
  <si>
    <t>Gandhinagar</t>
  </si>
  <si>
    <t>P018</t>
  </si>
  <si>
    <t>Smart Watch</t>
  </si>
  <si>
    <t>Anand</t>
  </si>
  <si>
    <t>P019</t>
  </si>
  <si>
    <t>T-Shirt</t>
  </si>
  <si>
    <t>P020</t>
  </si>
  <si>
    <t>Jeans</t>
  </si>
  <si>
    <t>P021</t>
  </si>
  <si>
    <t>Jaipur</t>
  </si>
  <si>
    <t>Rajasthan</t>
  </si>
  <si>
    <t>P022</t>
  </si>
  <si>
    <t>Keyboard</t>
  </si>
  <si>
    <t>Jodhpur</t>
  </si>
  <si>
    <t>P023</t>
  </si>
  <si>
    <t>Mouse</t>
  </si>
  <si>
    <t>Udaipur</t>
  </si>
  <si>
    <t>P024</t>
  </si>
  <si>
    <t>Office Desk</t>
  </si>
  <si>
    <t>Kota</t>
  </si>
  <si>
    <t>P025</t>
  </si>
  <si>
    <t>Bookshelf</t>
  </si>
  <si>
    <t>Ajmer</t>
  </si>
  <si>
    <t>P026</t>
  </si>
  <si>
    <t>Ceiling Fan</t>
  </si>
  <si>
    <t>Bikaner</t>
  </si>
  <si>
    <t>P027</t>
  </si>
  <si>
    <t>Cooler</t>
  </si>
  <si>
    <t>Alwar</t>
  </si>
  <si>
    <t>P028</t>
  </si>
  <si>
    <t>Television</t>
  </si>
  <si>
    <t>Bharatpur</t>
  </si>
  <si>
    <t>P029</t>
  </si>
  <si>
    <t>Jacket</t>
  </si>
  <si>
    <t>P030</t>
  </si>
  <si>
    <t>Sandals</t>
  </si>
  <si>
    <t>P031</t>
  </si>
  <si>
    <t>Bengaluru</t>
  </si>
  <si>
    <t>Karnataka</t>
  </si>
  <si>
    <t>P032</t>
  </si>
  <si>
    <t>Mysuru</t>
  </si>
  <si>
    <t>P033</t>
  </si>
  <si>
    <t>Dining Chair</t>
  </si>
  <si>
    <t>Mangaluru</t>
  </si>
  <si>
    <t>P034</t>
  </si>
  <si>
    <t>Coffee Table</t>
  </si>
  <si>
    <t>Hubballi</t>
  </si>
  <si>
    <t>P035</t>
  </si>
  <si>
    <t>Induction Stove</t>
  </si>
  <si>
    <t>Belagavi</t>
  </si>
  <si>
    <t>P036</t>
  </si>
  <si>
    <t>Water Purifier</t>
  </si>
  <si>
    <t>Shivamogga</t>
  </si>
  <si>
    <t>P037</t>
  </si>
  <si>
    <t>Vacuum Cleaner</t>
  </si>
  <si>
    <t>Davanagere</t>
  </si>
  <si>
    <t>P038</t>
  </si>
  <si>
    <t>Bluetooth Speaker</t>
  </si>
  <si>
    <t>Ballari</t>
  </si>
  <si>
    <t>P039</t>
  </si>
  <si>
    <t>Hoodie</t>
  </si>
  <si>
    <t>P040</t>
  </si>
  <si>
    <t>Cap</t>
  </si>
  <si>
    <t>P041</t>
  </si>
  <si>
    <t>Camera</t>
  </si>
  <si>
    <t>P042</t>
  </si>
  <si>
    <t>Monitor</t>
  </si>
  <si>
    <t>P043</t>
  </si>
  <si>
    <t>Router</t>
  </si>
  <si>
    <t>P044</t>
  </si>
  <si>
    <t>Power Bank</t>
  </si>
  <si>
    <t>P045</t>
  </si>
  <si>
    <t>Air Fryer</t>
  </si>
  <si>
    <t>P046</t>
  </si>
  <si>
    <t>Wardrobe</t>
  </si>
  <si>
    <t>P047</t>
  </si>
  <si>
    <t>Gaming Mouse</t>
  </si>
  <si>
    <t>P048</t>
  </si>
  <si>
    <t>Desk Lamp</t>
  </si>
  <si>
    <t>P049</t>
  </si>
  <si>
    <t>Sneakers</t>
  </si>
  <si>
    <t>P050</t>
  </si>
  <si>
    <t>Office Cabinet</t>
  </si>
  <si>
    <t>Total Sales</t>
  </si>
  <si>
    <t>Discount amount</t>
  </si>
  <si>
    <t>Net sales</t>
  </si>
  <si>
    <t>Month</t>
  </si>
  <si>
    <t>Row Labels</t>
  </si>
  <si>
    <t>Grand Total</t>
  </si>
  <si>
    <t>Sum of Net sales</t>
  </si>
  <si>
    <t>May</t>
  </si>
  <si>
    <t>Sum of quantity</t>
  </si>
  <si>
    <t>Jan</t>
  </si>
  <si>
    <t>Feb</t>
  </si>
  <si>
    <t>Mar</t>
  </si>
  <si>
    <t>Apr</t>
  </si>
  <si>
    <t>Jun</t>
  </si>
  <si>
    <t>Jul</t>
  </si>
  <si>
    <t>Aug</t>
  </si>
  <si>
    <t>Sep</t>
  </si>
  <si>
    <t>Oct</t>
  </si>
  <si>
    <t>Nov</t>
  </si>
  <si>
    <t>Dec</t>
  </si>
  <si>
    <t>(All)</t>
  </si>
  <si>
    <t>Average of discount_in_percentage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</si>
</sst>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00;[Red]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4">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quotePrefix="1" applyNumberFormat="1"/>
    <xf numFmtId="0" fontId="0" fillId="0" borderId="0" xfId="0"/>
    <xf numFmtId="0" fontId="1" fillId="2" borderId="1" xfId="0" applyFont="1" applyFill="1" applyBorder="1"/>
    <xf numFmtId="0" fontId="1" fillId="2" borderId="2" xfId="0" applyFont="1" applyFill="1" applyBorder="1" applyAlignment="1">
      <alignment horizontal="left"/>
    </xf>
    <xf numFmtId="0" fontId="1" fillId="2" borderId="2" xfId="0" applyNumberFormat="1" applyFont="1" applyFill="1" applyBorder="1"/>
    <xf numFmtId="165" fontId="0" fillId="0" borderId="0" xfId="0" applyNumberFormat="1"/>
    <xf numFmtId="0" fontId="0" fillId="0" borderId="0" xfId="0"/>
    <xf numFmtId="0" fontId="0" fillId="0" borderId="0" xfId="0" applyFont="1" applyAlignment="1">
      <alignment horizontal="left"/>
    </xf>
    <xf numFmtId="0" fontId="0" fillId="0" borderId="0" xfId="0" applyNumberFormat="1" applyFont="1"/>
  </cellXfs>
  <cellStyles count="1">
    <cellStyle name="Normal" xfId="0" builtinId="0"/>
  </cellStyles>
  <dxfs count="577">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0" formatCode="General"/>
    </dxf>
    <dxf>
      <numFmt numFmtId="0" formatCode="General"/>
    </dxf>
    <dxf>
      <numFmt numFmtId="0" formatCode="General"/>
    </dxf>
    <dxf>
      <numFmt numFmtId="0" formatCode="General"/>
    </dxf>
    <dxf>
      <numFmt numFmtId="164"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Sales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pivotFmt>
    </c:pivotFmts>
    <c:view3D>
      <c:rotX val="15"/>
      <c:rotY val="20"/>
      <c:depthPercent val="100"/>
      <c:rAngAx val="0"/>
    </c:view3D>
    <c:floor>
      <c:thickness val="0"/>
      <c:spPr>
        <a:noFill/>
        <a:ln w="9525" cap="flat" cmpd="sng" algn="ctr">
          <a:solidFill>
            <a:schemeClr val="tx2">
              <a:lumMod val="40000"/>
              <a:lumOff val="60000"/>
            </a:schemeClr>
          </a:solidFill>
          <a:round/>
        </a:ln>
        <a:effectLst/>
        <a:sp3d contourW="9525">
          <a:contourClr>
            <a:schemeClr val="tx2">
              <a:lumMod val="40000"/>
              <a:lumOff val="60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1426071741033"/>
          <c:y val="3.1296296296296301E-2"/>
          <c:w val="0.82033573928258963"/>
          <c:h val="0.8808435403907845"/>
        </c:manualLayout>
      </c:layout>
      <c:area3DChart>
        <c:grouping val="standar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1555520</c:v>
                </c:pt>
                <c:pt idx="1">
                  <c:v>515240</c:v>
                </c:pt>
                <c:pt idx="2">
                  <c:v>1137440</c:v>
                </c:pt>
                <c:pt idx="3">
                  <c:v>606730</c:v>
                </c:pt>
                <c:pt idx="4">
                  <c:v>889180</c:v>
                </c:pt>
                <c:pt idx="5">
                  <c:v>264100</c:v>
                </c:pt>
                <c:pt idx="6">
                  <c:v>467760</c:v>
                </c:pt>
                <c:pt idx="7">
                  <c:v>1749660</c:v>
                </c:pt>
                <c:pt idx="8">
                  <c:v>352010</c:v>
                </c:pt>
                <c:pt idx="9">
                  <c:v>583348</c:v>
                </c:pt>
                <c:pt idx="10">
                  <c:v>305500</c:v>
                </c:pt>
                <c:pt idx="11">
                  <c:v>157980</c:v>
                </c:pt>
              </c:numCache>
            </c:numRef>
          </c:val>
          <c:extLst>
            <c:ext xmlns:c16="http://schemas.microsoft.com/office/drawing/2014/chart" uri="{C3380CC4-5D6E-409C-BE32-E72D297353CC}">
              <c16:uniqueId val="{00000000-C11B-4322-9BE6-1D424A9A006B}"/>
            </c:ext>
          </c:extLst>
        </c:ser>
        <c:dLbls>
          <c:showLegendKey val="0"/>
          <c:showVal val="0"/>
          <c:showCatName val="0"/>
          <c:showSerName val="0"/>
          <c:showPercent val="0"/>
          <c:showBubbleSize val="0"/>
        </c:dLbls>
        <c:axId val="22299120"/>
        <c:axId val="22300784"/>
        <c:axId val="24885984"/>
      </c:area3DChart>
      <c:catAx>
        <c:axId val="2229912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300784"/>
        <c:crosses val="autoZero"/>
        <c:auto val="1"/>
        <c:lblAlgn val="ctr"/>
        <c:lblOffset val="100"/>
        <c:noMultiLvlLbl val="0"/>
      </c:catAx>
      <c:valAx>
        <c:axId val="223007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299120"/>
        <c:crosses val="autoZero"/>
        <c:crossBetween val="midCat"/>
      </c:valAx>
      <c:serAx>
        <c:axId val="24885984"/>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300784"/>
        <c:crosses val="autoZero"/>
      </c:ser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50000"/>
                  </a:schemeClr>
                </a:solidFill>
              </a:rPr>
              <a:t>Category</a:t>
            </a:r>
            <a:r>
              <a:rPr lang="en-US" baseline="0">
                <a:solidFill>
                  <a:schemeClr val="tx2">
                    <a:lumMod val="50000"/>
                  </a:schemeClr>
                </a:solidFill>
              </a:rPr>
              <a:t> Sales</a:t>
            </a:r>
            <a:endParaRPr lang="en-US">
              <a:solidFill>
                <a:schemeClr val="tx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Sheet2!$E$3</c:f>
              <c:strCache>
                <c:ptCount val="1"/>
                <c:pt idx="0">
                  <c:v>Total</c:v>
                </c:pt>
              </c:strCache>
            </c:strRef>
          </c:tx>
          <c:spPr>
            <a:solidFill>
              <a:schemeClr val="accent1"/>
            </a:solidFill>
            <a:ln>
              <a:noFill/>
            </a:ln>
            <a:effectLst/>
            <a:sp3d/>
          </c:spPr>
          <c:invertIfNegative val="0"/>
          <c:cat>
            <c:strRef>
              <c:f>Sheet2!$D$4:$D$8</c:f>
              <c:strCache>
                <c:ptCount val="4"/>
                <c:pt idx="0">
                  <c:v>Electronics</c:v>
                </c:pt>
                <c:pt idx="1">
                  <c:v>Fashion</c:v>
                </c:pt>
                <c:pt idx="2">
                  <c:v>Furniture</c:v>
                </c:pt>
                <c:pt idx="3">
                  <c:v>Home Appliances</c:v>
                </c:pt>
              </c:strCache>
            </c:strRef>
          </c:cat>
          <c:val>
            <c:numRef>
              <c:f>Sheet2!$E$4:$E$8</c:f>
              <c:numCache>
                <c:formatCode>General</c:formatCode>
                <c:ptCount val="4"/>
                <c:pt idx="0">
                  <c:v>5924478</c:v>
                </c:pt>
                <c:pt idx="1">
                  <c:v>406050</c:v>
                </c:pt>
                <c:pt idx="2">
                  <c:v>961840</c:v>
                </c:pt>
                <c:pt idx="3">
                  <c:v>1292100</c:v>
                </c:pt>
              </c:numCache>
            </c:numRef>
          </c:val>
          <c:extLst>
            <c:ext xmlns:c16="http://schemas.microsoft.com/office/drawing/2014/chart" uri="{C3380CC4-5D6E-409C-BE32-E72D297353CC}">
              <c16:uniqueId val="{00000000-FD69-4DB5-81DD-225BC98DF8CF}"/>
            </c:ext>
          </c:extLst>
        </c:ser>
        <c:dLbls>
          <c:showLegendKey val="0"/>
          <c:showVal val="0"/>
          <c:showCatName val="0"/>
          <c:showSerName val="0"/>
          <c:showPercent val="0"/>
          <c:showBubbleSize val="0"/>
        </c:dLbls>
        <c:gapWidth val="150"/>
        <c:shape val="box"/>
        <c:axId val="321592928"/>
        <c:axId val="321594592"/>
        <c:axId val="0"/>
      </c:bar3DChart>
      <c:catAx>
        <c:axId val="321592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594592"/>
        <c:crosses val="autoZero"/>
        <c:auto val="1"/>
        <c:lblAlgn val="ctr"/>
        <c:lblOffset val="100"/>
        <c:noMultiLvlLbl val="0"/>
      </c:catAx>
      <c:valAx>
        <c:axId val="32159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592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State</a:t>
            </a:r>
            <a:r>
              <a:rPr lang="en-US" b="1" baseline="0">
                <a:solidFill>
                  <a:schemeClr val="tx2">
                    <a:lumMod val="75000"/>
                  </a:schemeClr>
                </a:solidFill>
              </a:rPr>
              <a:t> wise Net Sales</a:t>
            </a:r>
            <a:endParaRPr lang="en-US" b="1">
              <a:solidFill>
                <a:schemeClr val="tx2">
                  <a:lumMod val="75000"/>
                </a:schemeClr>
              </a:solidFill>
            </a:endParaRPr>
          </a:p>
        </c:rich>
      </c:tx>
      <c:layout>
        <c:manualLayout>
          <c:xMode val="edge"/>
          <c:yMode val="edge"/>
          <c:x val="0.39054855643044617"/>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Sheet2!$H$3</c:f>
              <c:strCache>
                <c:ptCount val="1"/>
                <c:pt idx="0">
                  <c:v>Total</c:v>
                </c:pt>
              </c:strCache>
            </c:strRef>
          </c:tx>
          <c:spPr>
            <a:solidFill>
              <a:schemeClr val="accent1"/>
            </a:solidFill>
            <a:ln>
              <a:noFill/>
            </a:ln>
            <a:effectLst/>
            <a:sp3d/>
          </c:spPr>
          <c:invertIfNegative val="0"/>
          <c:cat>
            <c:strRef>
              <c:f>Sheet2!$G$4:$G$8</c:f>
              <c:strCache>
                <c:ptCount val="4"/>
                <c:pt idx="0">
                  <c:v>Gujarat</c:v>
                </c:pt>
                <c:pt idx="1">
                  <c:v>Karnataka</c:v>
                </c:pt>
                <c:pt idx="2">
                  <c:v>Maharashtra</c:v>
                </c:pt>
                <c:pt idx="3">
                  <c:v>Rajasthan</c:v>
                </c:pt>
              </c:strCache>
            </c:strRef>
          </c:cat>
          <c:val>
            <c:numRef>
              <c:f>Sheet2!$H$4:$H$8</c:f>
              <c:numCache>
                <c:formatCode>General</c:formatCode>
                <c:ptCount val="4"/>
                <c:pt idx="0">
                  <c:v>2326280</c:v>
                </c:pt>
                <c:pt idx="1">
                  <c:v>2202920</c:v>
                </c:pt>
                <c:pt idx="2">
                  <c:v>2581920</c:v>
                </c:pt>
                <c:pt idx="3">
                  <c:v>1473348</c:v>
                </c:pt>
              </c:numCache>
            </c:numRef>
          </c:val>
          <c:extLst>
            <c:ext xmlns:c16="http://schemas.microsoft.com/office/drawing/2014/chart" uri="{C3380CC4-5D6E-409C-BE32-E72D297353CC}">
              <c16:uniqueId val="{00000000-BD46-4A25-A31D-E3E43A49DD7D}"/>
            </c:ext>
          </c:extLst>
        </c:ser>
        <c:dLbls>
          <c:showLegendKey val="0"/>
          <c:showVal val="0"/>
          <c:showCatName val="0"/>
          <c:showSerName val="0"/>
          <c:showPercent val="0"/>
          <c:showBubbleSize val="0"/>
        </c:dLbls>
        <c:gapWidth val="150"/>
        <c:shape val="box"/>
        <c:axId val="321600832"/>
        <c:axId val="321596256"/>
        <c:axId val="0"/>
      </c:bar3DChart>
      <c:catAx>
        <c:axId val="321600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596256"/>
        <c:crosses val="autoZero"/>
        <c:auto val="1"/>
        <c:lblAlgn val="ctr"/>
        <c:lblOffset val="100"/>
        <c:noMultiLvlLbl val="0"/>
      </c:catAx>
      <c:valAx>
        <c:axId val="32159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600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Avg</a:t>
            </a:r>
            <a:r>
              <a:rPr lang="en-US" b="1" baseline="0">
                <a:solidFill>
                  <a:schemeClr val="accent1">
                    <a:lumMod val="50000"/>
                  </a:schemeClr>
                </a:solidFill>
              </a:rPr>
              <a:t> of Discount Percentage</a:t>
            </a:r>
            <a:endParaRPr lang="en-US" b="1">
              <a:solidFill>
                <a:schemeClr val="accent1">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Sheet2!$H$11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A46-4A41-8DC2-9749E83860E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A46-4A41-8DC2-9749E83860E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A46-4A41-8DC2-9749E83860E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A46-4A41-8DC2-9749E83860EC}"/>
              </c:ext>
            </c:extLst>
          </c:dPt>
          <c:cat>
            <c:strRef>
              <c:f>Sheet2!$G$12:$G$16</c:f>
              <c:strCache>
                <c:ptCount val="4"/>
                <c:pt idx="0">
                  <c:v>Electronics</c:v>
                </c:pt>
                <c:pt idx="1">
                  <c:v>Fashion</c:v>
                </c:pt>
                <c:pt idx="2">
                  <c:v>Furniture</c:v>
                </c:pt>
                <c:pt idx="3">
                  <c:v>Home Appliances</c:v>
                </c:pt>
              </c:strCache>
            </c:strRef>
          </c:cat>
          <c:val>
            <c:numRef>
              <c:f>Sheet2!$H$12:$H$16</c:f>
              <c:numCache>
                <c:formatCode>0.00;[Red]0.00</c:formatCode>
                <c:ptCount val="4"/>
                <c:pt idx="0">
                  <c:v>11.421052631578947</c:v>
                </c:pt>
                <c:pt idx="1">
                  <c:v>19.777777777777779</c:v>
                </c:pt>
                <c:pt idx="2">
                  <c:v>11.3</c:v>
                </c:pt>
                <c:pt idx="3">
                  <c:v>13.416666666666666</c:v>
                </c:pt>
              </c:numCache>
            </c:numRef>
          </c:val>
          <c:extLst>
            <c:ext xmlns:c16="http://schemas.microsoft.com/office/drawing/2014/chart" uri="{C3380CC4-5D6E-409C-BE32-E72D297353CC}">
              <c16:uniqueId val="{00000008-DA46-4A41-8DC2-9749E83860EC}"/>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Sheet2!$K$3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31-4F94-83C9-0E826E9834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31-4F94-83C9-0E826E9834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31-4F94-83C9-0E826E9834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31-4F94-83C9-0E826E9834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Sheet2!$J$4:$J$8</c:f>
              <c:strCache>
                <c:ptCount val="4"/>
                <c:pt idx="0">
                  <c:v>Electronics</c:v>
                </c:pt>
                <c:pt idx="1">
                  <c:v>Fashion</c:v>
                </c:pt>
                <c:pt idx="2">
                  <c:v>Furniture</c:v>
                </c:pt>
                <c:pt idx="3">
                  <c:v>Home Appliances</c:v>
                </c:pt>
              </c:strCache>
            </c:strRef>
          </c:cat>
          <c:val>
            <c:numRef>
              <c:f>Sheet2!$K$4:$K$8</c:f>
              <c:numCache>
                <c:formatCode>General</c:formatCode>
                <c:ptCount val="4"/>
                <c:pt idx="0">
                  <c:v>393</c:v>
                </c:pt>
                <c:pt idx="1">
                  <c:v>297</c:v>
                </c:pt>
                <c:pt idx="2">
                  <c:v>112</c:v>
                </c:pt>
                <c:pt idx="3">
                  <c:v>154</c:v>
                </c:pt>
              </c:numCache>
            </c:numRef>
          </c:val>
          <c:extLst>
            <c:ext xmlns:c16="http://schemas.microsoft.com/office/drawing/2014/chart" uri="{C3380CC4-5D6E-409C-BE32-E72D297353CC}">
              <c16:uniqueId val="{00000008-D531-4F94-83C9-0E826E98340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Dashboard.xlsx]Sheet2!PivotTable1</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Sheet2!$E$18</c:f>
              <c:strCache>
                <c:ptCount val="1"/>
                <c:pt idx="0">
                  <c:v>Total</c:v>
                </c:pt>
              </c:strCache>
            </c:strRef>
          </c:tx>
          <c:spPr>
            <a:solidFill>
              <a:schemeClr val="accent1"/>
            </a:solidFill>
            <a:ln>
              <a:noFill/>
            </a:ln>
            <a:effectLst/>
            <a:sp3d/>
          </c:spPr>
          <c:invertIfNegative val="0"/>
          <c:cat>
            <c:strRef>
              <c:f>Sheet2!$D$19:$D$29</c:f>
              <c:strCache>
                <c:ptCount val="10"/>
                <c:pt idx="0">
                  <c:v>Laptop</c:v>
                </c:pt>
                <c:pt idx="1">
                  <c:v>Smartphone</c:v>
                </c:pt>
                <c:pt idx="2">
                  <c:v>Tablet</c:v>
                </c:pt>
                <c:pt idx="3">
                  <c:v>Camera</c:v>
                </c:pt>
                <c:pt idx="4">
                  <c:v>Television</c:v>
                </c:pt>
                <c:pt idx="5">
                  <c:v>Refrigerator</c:v>
                </c:pt>
                <c:pt idx="6">
                  <c:v>Air Conditioner</c:v>
                </c:pt>
                <c:pt idx="7">
                  <c:v>Monitor</c:v>
                </c:pt>
                <c:pt idx="8">
                  <c:v>Smart Watch</c:v>
                </c:pt>
                <c:pt idx="9">
                  <c:v>Washing Machine</c:v>
                </c:pt>
              </c:strCache>
            </c:strRef>
          </c:cat>
          <c:val>
            <c:numRef>
              <c:f>Sheet2!$E$19:$E$29</c:f>
              <c:numCache>
                <c:formatCode>General</c:formatCode>
                <c:ptCount val="10"/>
                <c:pt idx="0">
                  <c:v>2758080</c:v>
                </c:pt>
                <c:pt idx="1">
                  <c:v>1353800</c:v>
                </c:pt>
                <c:pt idx="2">
                  <c:v>345600</c:v>
                </c:pt>
                <c:pt idx="3">
                  <c:v>287040</c:v>
                </c:pt>
                <c:pt idx="4">
                  <c:v>282720</c:v>
                </c:pt>
                <c:pt idx="5">
                  <c:v>264330</c:v>
                </c:pt>
                <c:pt idx="6">
                  <c:v>226800</c:v>
                </c:pt>
                <c:pt idx="7">
                  <c:v>221850</c:v>
                </c:pt>
                <c:pt idx="8">
                  <c:v>168300</c:v>
                </c:pt>
                <c:pt idx="9">
                  <c:v>163800</c:v>
                </c:pt>
              </c:numCache>
            </c:numRef>
          </c:val>
          <c:extLst>
            <c:ext xmlns:c16="http://schemas.microsoft.com/office/drawing/2014/chart" uri="{C3380CC4-5D6E-409C-BE32-E72D297353CC}">
              <c16:uniqueId val="{00000000-03A0-44A1-AED1-EAB26C58F167}"/>
            </c:ext>
          </c:extLst>
        </c:ser>
        <c:dLbls>
          <c:showLegendKey val="0"/>
          <c:showVal val="0"/>
          <c:showCatName val="0"/>
          <c:showSerName val="0"/>
          <c:showPercent val="0"/>
          <c:showBubbleSize val="0"/>
        </c:dLbls>
        <c:gapWidth val="150"/>
        <c:shape val="box"/>
        <c:axId val="29272048"/>
        <c:axId val="29273296"/>
        <c:axId val="0"/>
      </c:bar3DChart>
      <c:catAx>
        <c:axId val="2927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73296"/>
        <c:crosses val="autoZero"/>
        <c:auto val="1"/>
        <c:lblAlgn val="ctr"/>
        <c:lblOffset val="100"/>
        <c:noMultiLvlLbl val="0"/>
      </c:catAx>
      <c:valAx>
        <c:axId val="29273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72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719320" cy="617220"/>
    <xdr:sp macro="" textlink="">
      <xdr:nvSpPr>
        <xdr:cNvPr id="2" name="TextBox 1"/>
        <xdr:cNvSpPr txBox="1"/>
      </xdr:nvSpPr>
      <xdr:spPr>
        <a:xfrm>
          <a:off x="0" y="0"/>
          <a:ext cx="18719320" cy="61722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2000" b="1">
              <a:solidFill>
                <a:schemeClr val="tx2"/>
              </a:solidFill>
            </a:rPr>
            <a:t>Sales</a:t>
          </a:r>
          <a:r>
            <a:rPr lang="en-US" sz="2000" b="1" baseline="0">
              <a:solidFill>
                <a:schemeClr val="tx2"/>
              </a:solidFill>
            </a:rPr>
            <a:t> Dashboard</a:t>
          </a:r>
          <a:endParaRPr lang="en-US" sz="2000" b="1">
            <a:solidFill>
              <a:schemeClr val="tx2"/>
            </a:solidFill>
          </a:endParaRPr>
        </a:p>
      </xdr:txBody>
    </xdr:sp>
    <xdr:clientData/>
  </xdr:oneCellAnchor>
  <xdr:oneCellAnchor>
    <xdr:from>
      <xdr:col>2</xdr:col>
      <xdr:colOff>205740</xdr:colOff>
      <xdr:row>6</xdr:row>
      <xdr:rowOff>175260</xdr:rowOff>
    </xdr:from>
    <xdr:ext cx="184731" cy="264560"/>
    <xdr:sp macro="" textlink="">
      <xdr:nvSpPr>
        <xdr:cNvPr id="3" name="TextBox 2"/>
        <xdr:cNvSpPr txBox="1"/>
      </xdr:nvSpPr>
      <xdr:spPr>
        <a:xfrm>
          <a:off x="1424940" y="1272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23</xdr:col>
      <xdr:colOff>575095</xdr:colOff>
      <xdr:row>20</xdr:row>
      <xdr:rowOff>14378</xdr:rowOff>
    </xdr:from>
    <xdr:ext cx="2170981" cy="848264"/>
    <xdr:sp macro="" textlink="Sheet2!$I$19">
      <xdr:nvSpPr>
        <xdr:cNvPr id="5" name="TextBox 4"/>
        <xdr:cNvSpPr txBox="1"/>
      </xdr:nvSpPr>
      <xdr:spPr>
        <a:xfrm>
          <a:off x="14463623" y="3752491"/>
          <a:ext cx="2170981" cy="848264"/>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none"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defRPr/>
          </a:pPr>
          <a:fld id="{B3013D4D-1EBC-43AA-ACF9-0336C3DD9024}" type="TxLink">
            <a:rPr lang="en-US" sz="1100" b="0" i="0" u="none" strike="noStrike">
              <a:solidFill>
                <a:srgbClr val="000000"/>
              </a:solidFill>
              <a:effectLst/>
              <a:latin typeface="Calibri"/>
              <a:ea typeface="Calibri"/>
              <a:cs typeface="Calibri"/>
            </a:rPr>
            <a:pPr marL="0" marR="0" indent="0" algn="ctr" defTabSz="914400" eaLnBrk="1" fontAlgn="auto" latinLnBrk="0" hangingPunct="1">
              <a:lnSpc>
                <a:spcPct val="100000"/>
              </a:lnSpc>
              <a:spcBef>
                <a:spcPts val="0"/>
              </a:spcBef>
              <a:spcAft>
                <a:spcPts val="0"/>
              </a:spcAft>
              <a:buClrTx/>
              <a:buSzTx/>
              <a:buFontTx/>
              <a:buNone/>
              <a:tabLst/>
              <a:defRPr/>
            </a:pPr>
            <a:t>8584468</a:t>
          </a:fld>
          <a:endParaRPr lang="en-US" sz="1100"/>
        </a:p>
      </xdr:txBody>
    </xdr:sp>
    <xdr:clientData/>
  </xdr:oneCellAnchor>
  <xdr:oneCellAnchor>
    <xdr:from>
      <xdr:col>23</xdr:col>
      <xdr:colOff>531963</xdr:colOff>
      <xdr:row>26</xdr:row>
      <xdr:rowOff>14377</xdr:rowOff>
    </xdr:from>
    <xdr:ext cx="2242867" cy="819510"/>
    <xdr:sp macro="" textlink="Sheet2!$I$20">
      <xdr:nvSpPr>
        <xdr:cNvPr id="6" name="TextBox 5"/>
        <xdr:cNvSpPr txBox="1"/>
      </xdr:nvSpPr>
      <xdr:spPr>
        <a:xfrm>
          <a:off x="14420491" y="4873924"/>
          <a:ext cx="2242867" cy="81951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none"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defRPr/>
          </a:pPr>
          <a:fld id="{A226068A-1F82-47BA-839A-BD3740A14920}" type="TxLink">
            <a:rPr lang="en-US" sz="1100" b="0" i="0" u="none" strike="noStrike">
              <a:solidFill>
                <a:srgbClr val="000000"/>
              </a:solidFill>
              <a:effectLst/>
              <a:latin typeface="Calibri"/>
              <a:ea typeface="Calibri"/>
              <a:cs typeface="Calibri"/>
            </a:rPr>
            <a:pPr marL="0" marR="0" indent="0" algn="ctr" defTabSz="914400" eaLnBrk="1" fontAlgn="auto" latinLnBrk="0" hangingPunct="1">
              <a:lnSpc>
                <a:spcPct val="100000"/>
              </a:lnSpc>
              <a:spcBef>
                <a:spcPts val="0"/>
              </a:spcBef>
              <a:spcAft>
                <a:spcPts val="0"/>
              </a:spcAft>
              <a:buClrTx/>
              <a:buSzTx/>
              <a:buFontTx/>
              <a:buNone/>
              <a:tabLst/>
              <a:defRPr/>
            </a:pPr>
            <a:t>137418.5</a:t>
          </a:fld>
          <a:endParaRPr lang="en-US" sz="1100" b="0" i="0" u="none" strike="noStrike">
            <a:solidFill>
              <a:srgbClr val="000000"/>
            </a:solidFill>
            <a:effectLst/>
            <a:latin typeface="Calibri"/>
            <a:ea typeface="Calibri"/>
            <a:cs typeface="Calibri"/>
          </a:endParaRPr>
        </a:p>
      </xdr:txBody>
    </xdr:sp>
    <xdr:clientData/>
  </xdr:oneCellAnchor>
  <xdr:oneCellAnchor>
    <xdr:from>
      <xdr:col>23</xdr:col>
      <xdr:colOff>517585</xdr:colOff>
      <xdr:row>31</xdr:row>
      <xdr:rowOff>158151</xdr:rowOff>
    </xdr:from>
    <xdr:ext cx="2300378" cy="776377"/>
    <xdr:sp macro="" textlink="Sheet2!$I$21">
      <xdr:nvSpPr>
        <xdr:cNvPr id="7" name="TextBox 6"/>
        <xdr:cNvSpPr txBox="1"/>
      </xdr:nvSpPr>
      <xdr:spPr>
        <a:xfrm>
          <a:off x="14406113" y="5952226"/>
          <a:ext cx="2300378" cy="776377"/>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none"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defRPr/>
          </a:pPr>
          <a:fld id="{F5902B6E-2B48-4F68-8034-7B17E81F7332}" type="TxLink">
            <a:rPr lang="en-US" sz="1100" b="0" i="0" u="none" strike="noStrike">
              <a:solidFill>
                <a:srgbClr val="000000"/>
              </a:solidFill>
              <a:effectLst/>
              <a:latin typeface="Calibri"/>
              <a:ea typeface="Calibri"/>
              <a:cs typeface="Calibri"/>
            </a:rPr>
            <a:pPr marL="0" marR="0" indent="0" algn="ctr" defTabSz="914400" eaLnBrk="1" fontAlgn="auto" latinLnBrk="0" hangingPunct="1">
              <a:lnSpc>
                <a:spcPct val="100000"/>
              </a:lnSpc>
              <a:spcBef>
                <a:spcPts val="0"/>
              </a:spcBef>
              <a:spcAft>
                <a:spcPts val="0"/>
              </a:spcAft>
              <a:buClrTx/>
              <a:buSzTx/>
              <a:buFontTx/>
              <a:buNone/>
              <a:tabLst/>
              <a:defRPr/>
            </a:pPr>
            <a:t>20250</a:t>
          </a:fld>
          <a:endParaRPr lang="en-US" sz="1100" b="0" i="0" u="none" strike="noStrike">
            <a:solidFill>
              <a:srgbClr val="000000"/>
            </a:solidFill>
            <a:effectLst/>
            <a:latin typeface="Calibri"/>
            <a:ea typeface="Calibri"/>
            <a:cs typeface="Calibri"/>
          </a:endParaRPr>
        </a:p>
      </xdr:txBody>
    </xdr:sp>
    <xdr:clientData/>
  </xdr:oneCellAnchor>
  <xdr:oneCellAnchor>
    <xdr:from>
      <xdr:col>23</xdr:col>
      <xdr:colOff>546340</xdr:colOff>
      <xdr:row>38</xdr:row>
      <xdr:rowOff>14376</xdr:rowOff>
    </xdr:from>
    <xdr:ext cx="2314755" cy="790755"/>
    <xdr:sp macro="" textlink="Sheet2!$I$22">
      <xdr:nvSpPr>
        <xdr:cNvPr id="8" name="TextBox 7"/>
        <xdr:cNvSpPr txBox="1"/>
      </xdr:nvSpPr>
      <xdr:spPr>
        <a:xfrm>
          <a:off x="14434868" y="7116791"/>
          <a:ext cx="2314755" cy="79075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none"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defRPr/>
          </a:pPr>
          <a:fld id="{C24C78C6-51C4-4D27-BD6B-79B60F4494C0}" type="TxLink">
            <a:rPr lang="en-US" sz="1100" b="0" i="0" u="none" strike="noStrike">
              <a:solidFill>
                <a:srgbClr val="000000"/>
              </a:solidFill>
              <a:effectLst/>
              <a:latin typeface="Calibri"/>
              <a:ea typeface="Calibri"/>
              <a:cs typeface="Calibri"/>
            </a:rPr>
            <a:pPr marL="0" marR="0" indent="0" algn="ctr" defTabSz="914400" eaLnBrk="1" fontAlgn="auto" latinLnBrk="0" hangingPunct="1">
              <a:lnSpc>
                <a:spcPct val="100000"/>
              </a:lnSpc>
              <a:spcBef>
                <a:spcPts val="0"/>
              </a:spcBef>
              <a:spcAft>
                <a:spcPts val="0"/>
              </a:spcAft>
              <a:buClrTx/>
              <a:buSzTx/>
              <a:buFontTx/>
              <a:buNone/>
              <a:tabLst/>
              <a:defRPr/>
            </a:pPr>
            <a:t>844200</a:t>
          </a:fld>
          <a:endParaRPr lang="en-US" sz="1100" b="0" i="0" u="none" strike="noStrike">
            <a:solidFill>
              <a:srgbClr val="000000"/>
            </a:solidFill>
            <a:effectLst/>
            <a:latin typeface="Calibri"/>
            <a:ea typeface="Calibri"/>
            <a:cs typeface="Calibri"/>
          </a:endParaRPr>
        </a:p>
      </xdr:txBody>
    </xdr:sp>
    <xdr:clientData/>
  </xdr:oneCellAnchor>
  <xdr:twoCellAnchor>
    <xdr:from>
      <xdr:col>0</xdr:col>
      <xdr:colOff>0</xdr:colOff>
      <xdr:row>9</xdr:row>
      <xdr:rowOff>83820</xdr:rowOff>
    </xdr:from>
    <xdr:to>
      <xdr:col>7</xdr:col>
      <xdr:colOff>259080</xdr:colOff>
      <xdr:row>25</xdr:row>
      <xdr:rowOff>83820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9</xdr:row>
      <xdr:rowOff>68580</xdr:rowOff>
    </xdr:from>
    <xdr:to>
      <xdr:col>15</xdr:col>
      <xdr:colOff>22860</xdr:colOff>
      <xdr:row>25</xdr:row>
      <xdr:rowOff>45720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449580</xdr:colOff>
      <xdr:row>9</xdr:row>
      <xdr:rowOff>30480</xdr:rowOff>
    </xdr:from>
    <xdr:to>
      <xdr:col>22</xdr:col>
      <xdr:colOff>575095</xdr:colOff>
      <xdr:row>25</xdr:row>
      <xdr:rowOff>15240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28756</xdr:rowOff>
    </xdr:from>
    <xdr:to>
      <xdr:col>7</xdr:col>
      <xdr:colOff>217714</xdr:colOff>
      <xdr:row>44</xdr:row>
      <xdr:rowOff>138546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560717</xdr:colOff>
      <xdr:row>27</xdr:row>
      <xdr:rowOff>9897</xdr:rowOff>
    </xdr:from>
    <xdr:to>
      <xdr:col>15</xdr:col>
      <xdr:colOff>100641</xdr:colOff>
      <xdr:row>44</xdr:row>
      <xdr:rowOff>115019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503207</xdr:colOff>
      <xdr:row>27</xdr:row>
      <xdr:rowOff>-1</xdr:rowOff>
    </xdr:from>
    <xdr:to>
      <xdr:col>23</xdr:col>
      <xdr:colOff>2088</xdr:colOff>
      <xdr:row>44</xdr:row>
      <xdr:rowOff>71886</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0</xdr:colOff>
      <xdr:row>4</xdr:row>
      <xdr:rowOff>71888</xdr:rowOff>
    </xdr:from>
    <xdr:to>
      <xdr:col>22</xdr:col>
      <xdr:colOff>373812</xdr:colOff>
      <xdr:row>8</xdr:row>
      <xdr:rowOff>28756</xdr:rowOff>
    </xdr:to>
    <mc:AlternateContent xmlns:mc="http://schemas.openxmlformats.org/markup-compatibility/2006">
      <mc:Choice xmlns:a14="http://schemas.microsoft.com/office/drawing/2010/main" Requires="a14">
        <xdr:graphicFrame macro="">
          <xdr:nvGraphicFramePr>
            <xdr:cNvPr id="15"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811547" y="819511"/>
              <a:ext cx="11846944" cy="704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474453</xdr:colOff>
      <xdr:row>5</xdr:row>
      <xdr:rowOff>28755</xdr:rowOff>
    </xdr:from>
    <xdr:to>
      <xdr:col>28</xdr:col>
      <xdr:colOff>115018</xdr:colOff>
      <xdr:row>15</xdr:row>
      <xdr:rowOff>143773</xdr:rowOff>
    </xdr:to>
    <mc:AlternateContent xmlns:mc="http://schemas.openxmlformats.org/markup-compatibility/2006">
      <mc:Choice xmlns:a14="http://schemas.microsoft.com/office/drawing/2010/main" Requires="a14">
        <xdr:graphicFrame macro="">
          <xdr:nvGraphicFramePr>
            <xdr:cNvPr id="1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362981" y="963283"/>
              <a:ext cx="2659811" cy="1984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agtapsunigdha@gmail.com" refreshedDate="46204.921031365739" createdVersion="6" refreshedVersion="6" minRefreshableVersion="3" recordCount="50">
  <cacheSource type="worksheet">
    <worksheetSource name="Table1"/>
  </cacheSource>
  <cacheFields count="14">
    <cacheField name="date" numFmtId="164">
      <sharedItems containsSemiMixedTypes="0" containsNonDate="0" containsDate="1" containsString="0" minDate="2025-01-05T00:00:00" maxDate="2025-12-15T00:00:00" count="50">
        <d v="2025-01-05T00:00:00"/>
        <d v="2025-01-12T00:00:00"/>
        <d v="2025-01-19T00:00:00"/>
        <d v="2025-01-26T00:00:00"/>
        <d v="2025-02-02T00:00:00"/>
        <d v="2025-02-09T00:00:00"/>
        <d v="2025-02-16T00:00:00"/>
        <d v="2025-02-23T00:00:00"/>
        <d v="2025-03-02T00:00:00"/>
        <d v="2025-03-09T00:00:00"/>
        <d v="2025-03-16T00:00:00"/>
        <d v="2025-03-23T00:00:00"/>
        <d v="2025-03-30T00:00:00"/>
        <d v="2025-04-06T00:00:00"/>
        <d v="2025-04-13T00:00:00"/>
        <d v="2025-04-20T00:00:00"/>
        <d v="2025-04-27T00:00:00"/>
        <d v="2025-05-04T00:00:00"/>
        <d v="2025-05-11T00:00:00"/>
        <d v="2025-05-18T00:00:00"/>
        <d v="2025-05-25T00:00:00"/>
        <d v="2025-06-01T00:00:00"/>
        <d v="2025-06-08T00:00:00"/>
        <d v="2025-06-15T00:00:00"/>
        <d v="2025-06-22T00:00:00"/>
        <d v="2025-06-29T00:00:00"/>
        <d v="2025-07-06T00:00:00"/>
        <d v="2025-07-13T00:00:00"/>
        <d v="2025-07-20T00:00:00"/>
        <d v="2025-07-27T00:00:00"/>
        <d v="2025-08-03T00:00:00"/>
        <d v="2025-08-10T00:00:00"/>
        <d v="2025-08-17T00:00:00"/>
        <d v="2025-08-24T00:00:00"/>
        <d v="2025-08-31T00:00:00"/>
        <d v="2025-09-07T00:00:00"/>
        <d v="2025-09-14T00:00:00"/>
        <d v="2025-09-21T00:00:00"/>
        <d v="2025-09-28T00:00:00"/>
        <d v="2025-10-05T00:00:00"/>
        <d v="2025-10-12T00:00:00"/>
        <d v="2025-10-19T00:00:00"/>
        <d v="2025-10-26T00:00:00"/>
        <d v="2025-11-02T00:00:00"/>
        <d v="2025-11-09T00:00:00"/>
        <d v="2025-11-16T00:00:00"/>
        <d v="2025-11-23T00:00:00"/>
        <d v="2025-11-30T00:00:00"/>
        <d v="2025-12-07T00:00:00"/>
        <d v="2025-12-14T00:00:00"/>
      </sharedItems>
      <fieldGroup par="13" base="0">
        <rangePr groupBy="days" startDate="2025-01-05T00:00:00" endDate="2025-12-15T00:00:00"/>
        <groupItems count="368">
          <s v="&lt;1/5/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5/2025"/>
        </groupItems>
      </fieldGroup>
    </cacheField>
    <cacheField name="product_id" numFmtId="0">
      <sharedItems/>
    </cacheField>
    <cacheField name="product_name" numFmtId="0">
      <sharedItems count="46">
        <s v="Laptop"/>
        <s v="Smartphone"/>
        <s v="Office Chair"/>
        <s v="Dining Table"/>
        <s v="Printer"/>
        <s v="Mixer"/>
        <s v="Air Conditioner"/>
        <s v="Microwave"/>
        <s v="Shoes"/>
        <s v="Backpack"/>
        <s v="Tablet"/>
        <s v="Sofa"/>
        <s v="Study Table"/>
        <s v="Washing Machine"/>
        <s v="Refrigerator"/>
        <s v="Headphones"/>
        <s v="Smart Watch"/>
        <s v="T-Shirt"/>
        <s v="Jeans"/>
        <s v="Keyboard"/>
        <s v="Mouse"/>
        <s v="Office Desk"/>
        <s v="Bookshelf"/>
        <s v="Ceiling Fan"/>
        <s v="Cooler"/>
        <s v="Television"/>
        <s v="Jacket"/>
        <s v="Sandals"/>
        <s v="Dining Chair"/>
        <s v="Coffee Table"/>
        <s v="Induction Stove"/>
        <s v="Water Purifier"/>
        <s v="Vacuum Cleaner"/>
        <s v="Bluetooth Speaker"/>
        <s v="Hoodie"/>
        <s v="Cap"/>
        <s v="Camera"/>
        <s v="Monitor"/>
        <s v="Router"/>
        <s v="Power Bank"/>
        <s v="Air Fryer"/>
        <s v="Wardrobe"/>
        <s v="Gaming Mouse"/>
        <s v="Desk Lamp"/>
        <s v="Sneakers"/>
        <s v="Office Cabinet"/>
      </sharedItems>
    </cacheField>
    <cacheField name="category" numFmtId="0">
      <sharedItems count="4">
        <s v="Electronics"/>
        <s v="Furniture"/>
        <s v="Home Appliances"/>
        <s v="Fashion"/>
      </sharedItems>
    </cacheField>
    <cacheField name="city" numFmtId="0">
      <sharedItems/>
    </cacheField>
    <cacheField name="state" numFmtId="0">
      <sharedItems count="4">
        <s v="Maharashtra"/>
        <s v="Gujarat"/>
        <s v="Rajasthan"/>
        <s v="Karnataka"/>
      </sharedItems>
    </cacheField>
    <cacheField name="quantity" numFmtId="0">
      <sharedItems containsSemiMixedTypes="0" containsString="0" containsNumber="1" containsInteger="1" minValue="4" maxValue="50"/>
    </cacheField>
    <cacheField name="price_per_unit" numFmtId="0">
      <sharedItems containsSemiMixedTypes="0" containsString="0" containsNumber="1" containsInteger="1" minValue="600" maxValue="67000"/>
    </cacheField>
    <cacheField name="discount_in_percentage" numFmtId="0">
      <sharedItems containsSemiMixedTypes="0" containsString="0" containsNumber="1" containsInteger="1" minValue="5" maxValue="25"/>
    </cacheField>
    <cacheField name="Total Sales" numFmtId="0">
      <sharedItems containsSemiMixedTypes="0" containsString="0" containsNumber="1" containsInteger="1" minValue="27000" maxValue="938000"/>
    </cacheField>
    <cacheField name="Discount amount" numFmtId="0">
      <sharedItems containsSemiMixedTypes="0" containsString="0" containsNumber="1" containsInteger="1" minValue="5040" maxValue="93800"/>
    </cacheField>
    <cacheField name="Net sales" numFmtId="0">
      <sharedItems containsSemiMixedTypes="0" containsString="0" containsNumber="1" containsInteger="1" minValue="20250" maxValue="844200" count="50">
        <n v="702000"/>
        <n v="644000"/>
        <n v="87120"/>
        <n v="122400"/>
        <n v="114000"/>
        <n v="57400"/>
        <n v="226800"/>
        <n v="117040"/>
        <n v="61600"/>
        <n v="42840"/>
        <n v="564200"/>
        <n v="345600"/>
        <n v="123200"/>
        <n v="96600"/>
        <n v="163800"/>
        <n v="264330"/>
        <n v="82000"/>
        <n v="168300"/>
        <n v="30000"/>
        <n v="43200"/>
        <n v="647680"/>
        <n v="32640"/>
        <n v="26240"/>
        <n v="85500"/>
        <n v="74360"/>
        <n v="45360"/>
        <n v="86700"/>
        <n v="282720"/>
        <n v="61440"/>
        <n v="36900"/>
        <n v="844200"/>
        <n v="709800"/>
        <n v="72240"/>
        <n v="77220"/>
        <n v="46200"/>
        <n v="117450"/>
        <n v="71400"/>
        <n v="103320"/>
        <n v="59840"/>
        <n v="20250"/>
        <n v="287040"/>
        <n v="221850"/>
        <n v="54208"/>
        <n v="55080"/>
        <n v="69700"/>
        <n v="115200"/>
        <n v="39600"/>
        <n v="25920"/>
        <n v="49980"/>
        <n v="108000"/>
      </sharedItems>
    </cacheField>
    <cacheField name="Month" numFmtId="0">
      <sharedItems/>
    </cacheField>
    <cacheField name="Months" numFmtId="0" databaseField="0">
      <fieldGroup base="0">
        <rangePr groupBy="months" startDate="2025-01-05T00:00:00" endDate="2025-12-15T00:00:00"/>
        <groupItems count="14">
          <s v="&lt;1/5/2025"/>
          <s v="Jan"/>
          <s v="Feb"/>
          <s v="Mar"/>
          <s v="Apr"/>
          <s v="May"/>
          <s v="Jun"/>
          <s v="Jul"/>
          <s v="Aug"/>
          <s v="Sep"/>
          <s v="Oct"/>
          <s v="Nov"/>
          <s v="Dec"/>
          <s v="&gt;12/15/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x v="0"/>
    <s v="P001"/>
    <x v="0"/>
    <x v="0"/>
    <s v="Mumbai"/>
    <x v="0"/>
    <n v="12"/>
    <n v="65000"/>
    <n v="10"/>
    <n v="780000"/>
    <n v="78000"/>
    <x v="0"/>
    <s v="January"/>
  </r>
  <r>
    <x v="1"/>
    <s v="P002"/>
    <x v="1"/>
    <x v="0"/>
    <s v="Pune"/>
    <x v="0"/>
    <n v="25"/>
    <n v="28000"/>
    <n v="8"/>
    <n v="700000"/>
    <n v="56000"/>
    <x v="1"/>
    <s v="January"/>
  </r>
  <r>
    <x v="2"/>
    <s v="P003"/>
    <x v="2"/>
    <x v="1"/>
    <s v="Nagpur"/>
    <x v="0"/>
    <n v="18"/>
    <n v="5500"/>
    <n v="12"/>
    <n v="99000"/>
    <n v="11880"/>
    <x v="2"/>
    <s v="January"/>
  </r>
  <r>
    <x v="3"/>
    <s v="P004"/>
    <x v="3"/>
    <x v="1"/>
    <s v="Nashik"/>
    <x v="0"/>
    <n v="8"/>
    <n v="18000"/>
    <n v="15"/>
    <n v="144000"/>
    <n v="21600"/>
    <x v="3"/>
    <s v="January"/>
  </r>
  <r>
    <x v="4"/>
    <s v="P005"/>
    <x v="4"/>
    <x v="0"/>
    <s v="Aurangabad"/>
    <x v="0"/>
    <n v="10"/>
    <n v="12000"/>
    <n v="5"/>
    <n v="120000"/>
    <n v="6000"/>
    <x v="4"/>
    <s v="February"/>
  </r>
  <r>
    <x v="5"/>
    <s v="P006"/>
    <x v="5"/>
    <x v="2"/>
    <s v="Kolhapur"/>
    <x v="0"/>
    <n v="20"/>
    <n v="3500"/>
    <n v="18"/>
    <n v="70000"/>
    <n v="12600"/>
    <x v="5"/>
    <s v="February"/>
  </r>
  <r>
    <x v="6"/>
    <s v="P007"/>
    <x v="6"/>
    <x v="2"/>
    <s v="Solapur"/>
    <x v="0"/>
    <n v="6"/>
    <n v="42000"/>
    <n v="10"/>
    <n v="252000"/>
    <n v="25200"/>
    <x v="6"/>
    <s v="February"/>
  </r>
  <r>
    <x v="7"/>
    <s v="P008"/>
    <x v="7"/>
    <x v="2"/>
    <s v="Thane"/>
    <x v="0"/>
    <n v="14"/>
    <n v="9500"/>
    <n v="12"/>
    <n v="133000"/>
    <n v="15960"/>
    <x v="7"/>
    <s v="February"/>
  </r>
  <r>
    <x v="8"/>
    <s v="P009"/>
    <x v="8"/>
    <x v="3"/>
    <s v="Mumbai"/>
    <x v="0"/>
    <n v="35"/>
    <n v="2200"/>
    <n v="20"/>
    <n v="77000"/>
    <n v="15400"/>
    <x v="8"/>
    <s v="March"/>
  </r>
  <r>
    <x v="9"/>
    <s v="P010"/>
    <x v="9"/>
    <x v="3"/>
    <s v="Pune"/>
    <x v="0"/>
    <n v="28"/>
    <n v="1800"/>
    <n v="15"/>
    <n v="50400"/>
    <n v="7560"/>
    <x v="9"/>
    <s v="March"/>
  </r>
  <r>
    <x v="10"/>
    <s v="P011"/>
    <x v="0"/>
    <x v="0"/>
    <s v="Ahmedabad"/>
    <x v="1"/>
    <n v="10"/>
    <n v="62000"/>
    <n v="9"/>
    <n v="620000"/>
    <n v="55800"/>
    <x v="10"/>
    <s v="March"/>
  </r>
  <r>
    <x v="11"/>
    <s v="P012"/>
    <x v="10"/>
    <x v="0"/>
    <s v="Surat"/>
    <x v="1"/>
    <n v="16"/>
    <n v="24000"/>
    <n v="10"/>
    <n v="384000"/>
    <n v="38400"/>
    <x v="11"/>
    <s v="March"/>
  </r>
  <r>
    <x v="12"/>
    <s v="P013"/>
    <x v="11"/>
    <x v="1"/>
    <s v="Vadodara"/>
    <x v="1"/>
    <n v="5"/>
    <n v="28000"/>
    <n v="12"/>
    <n v="140000"/>
    <n v="16800"/>
    <x v="12"/>
    <s v="March"/>
  </r>
  <r>
    <x v="13"/>
    <s v="P014"/>
    <x v="12"/>
    <x v="1"/>
    <s v="Rajkot"/>
    <x v="1"/>
    <n v="15"/>
    <n v="7000"/>
    <n v="8"/>
    <n v="105000"/>
    <n v="8400"/>
    <x v="13"/>
    <s v="April"/>
  </r>
  <r>
    <x v="14"/>
    <s v="P015"/>
    <x v="13"/>
    <x v="2"/>
    <s v="Bhavnagar"/>
    <x v="1"/>
    <n v="7"/>
    <n v="26000"/>
    <n v="10"/>
    <n v="182000"/>
    <n v="18200"/>
    <x v="14"/>
    <s v="April"/>
  </r>
  <r>
    <x v="15"/>
    <s v="P016"/>
    <x v="14"/>
    <x v="2"/>
    <s v="Jamnagar"/>
    <x v="1"/>
    <n v="9"/>
    <n v="33000"/>
    <n v="11"/>
    <n v="297000"/>
    <n v="32670"/>
    <x v="15"/>
    <s v="April"/>
  </r>
  <r>
    <x v="16"/>
    <s v="P017"/>
    <x v="15"/>
    <x v="0"/>
    <s v="Gandhinagar"/>
    <x v="1"/>
    <n v="40"/>
    <n v="2500"/>
    <n v="18"/>
    <n v="100000"/>
    <n v="18000"/>
    <x v="16"/>
    <s v="April"/>
  </r>
  <r>
    <x v="17"/>
    <s v="P018"/>
    <x v="16"/>
    <x v="0"/>
    <s v="Anand"/>
    <x v="1"/>
    <n v="22"/>
    <n v="9000"/>
    <n v="15"/>
    <n v="198000"/>
    <n v="29700"/>
    <x v="17"/>
    <s v="May"/>
  </r>
  <r>
    <x v="18"/>
    <s v="P019"/>
    <x v="17"/>
    <x v="3"/>
    <s v="Ahmedabad"/>
    <x v="1"/>
    <n v="50"/>
    <n v="800"/>
    <n v="25"/>
    <n v="40000"/>
    <n v="10000"/>
    <x v="18"/>
    <s v="May"/>
  </r>
  <r>
    <x v="19"/>
    <s v="P020"/>
    <x v="18"/>
    <x v="3"/>
    <s v="Surat"/>
    <x v="1"/>
    <n v="30"/>
    <n v="1800"/>
    <n v="20"/>
    <n v="54000"/>
    <n v="10800"/>
    <x v="19"/>
    <s v="May"/>
  </r>
  <r>
    <x v="20"/>
    <s v="P021"/>
    <x v="0"/>
    <x v="0"/>
    <s v="Jaipur"/>
    <x v="2"/>
    <n v="11"/>
    <n v="64000"/>
    <n v="8"/>
    <n v="704000"/>
    <n v="56320"/>
    <x v="20"/>
    <s v="May"/>
  </r>
  <r>
    <x v="21"/>
    <s v="P022"/>
    <x v="19"/>
    <x v="0"/>
    <s v="Jodhpur"/>
    <x v="2"/>
    <n v="32"/>
    <n v="1200"/>
    <n v="15"/>
    <n v="38400"/>
    <n v="5760"/>
    <x v="21"/>
    <s v="June"/>
  </r>
  <r>
    <x v="22"/>
    <s v="P023"/>
    <x v="20"/>
    <x v="0"/>
    <s v="Udaipur"/>
    <x v="2"/>
    <n v="40"/>
    <n v="800"/>
    <n v="18"/>
    <n v="32000"/>
    <n v="5760"/>
    <x v="22"/>
    <s v="June"/>
  </r>
  <r>
    <x v="23"/>
    <s v="P024"/>
    <x v="21"/>
    <x v="1"/>
    <s v="Kota"/>
    <x v="2"/>
    <n v="10"/>
    <n v="9500"/>
    <n v="10"/>
    <n v="95000"/>
    <n v="9500"/>
    <x v="23"/>
    <s v="June"/>
  </r>
  <r>
    <x v="24"/>
    <s v="P025"/>
    <x v="22"/>
    <x v="1"/>
    <s v="Ajmer"/>
    <x v="2"/>
    <n v="13"/>
    <n v="6500"/>
    <n v="12"/>
    <n v="84500"/>
    <n v="10140"/>
    <x v="24"/>
    <s v="June"/>
  </r>
  <r>
    <x v="25"/>
    <s v="P026"/>
    <x v="23"/>
    <x v="2"/>
    <s v="Bikaner"/>
    <x v="2"/>
    <n v="18"/>
    <n v="2800"/>
    <n v="10"/>
    <n v="50400"/>
    <n v="5040"/>
    <x v="25"/>
    <s v="June"/>
  </r>
  <r>
    <x v="26"/>
    <s v="P027"/>
    <x v="24"/>
    <x v="2"/>
    <s v="Alwar"/>
    <x v="2"/>
    <n v="12"/>
    <n v="8500"/>
    <n v="15"/>
    <n v="102000"/>
    <n v="15300"/>
    <x v="26"/>
    <s v="July"/>
  </r>
  <r>
    <x v="27"/>
    <s v="P028"/>
    <x v="25"/>
    <x v="0"/>
    <s v="Bharatpur"/>
    <x v="2"/>
    <n v="8"/>
    <n v="38000"/>
    <n v="7"/>
    <n v="304000"/>
    <n v="21280"/>
    <x v="27"/>
    <s v="July"/>
  </r>
  <r>
    <x v="28"/>
    <s v="P029"/>
    <x v="26"/>
    <x v="3"/>
    <s v="Jaipur"/>
    <x v="2"/>
    <n v="24"/>
    <n v="3200"/>
    <n v="20"/>
    <n v="76800"/>
    <n v="15360"/>
    <x v="28"/>
    <s v="July"/>
  </r>
  <r>
    <x v="29"/>
    <s v="P030"/>
    <x v="27"/>
    <x v="3"/>
    <s v="Udaipur"/>
    <x v="2"/>
    <n v="30"/>
    <n v="1500"/>
    <n v="18"/>
    <n v="45000"/>
    <n v="8100"/>
    <x v="29"/>
    <s v="July"/>
  </r>
  <r>
    <x v="30"/>
    <s v="P031"/>
    <x v="0"/>
    <x v="0"/>
    <s v="Bengaluru"/>
    <x v="3"/>
    <n v="14"/>
    <n v="67000"/>
    <n v="10"/>
    <n v="938000"/>
    <n v="93800"/>
    <x v="30"/>
    <s v="August"/>
  </r>
  <r>
    <x v="31"/>
    <s v="P032"/>
    <x v="1"/>
    <x v="0"/>
    <s v="Mysuru"/>
    <x v="3"/>
    <n v="26"/>
    <n v="30000"/>
    <n v="9"/>
    <n v="780000"/>
    <n v="70200"/>
    <x v="31"/>
    <s v="August"/>
  </r>
  <r>
    <x v="32"/>
    <s v="P033"/>
    <x v="28"/>
    <x v="1"/>
    <s v="Mangaluru"/>
    <x v="3"/>
    <n v="20"/>
    <n v="4200"/>
    <n v="14"/>
    <n v="84000"/>
    <n v="11760"/>
    <x v="32"/>
    <s v="August"/>
  </r>
  <r>
    <x v="33"/>
    <s v="P034"/>
    <x v="29"/>
    <x v="1"/>
    <s v="Hubballi"/>
    <x v="3"/>
    <n v="11"/>
    <n v="7800"/>
    <n v="10"/>
    <n v="85800"/>
    <n v="8580"/>
    <x v="33"/>
    <s v="August"/>
  </r>
  <r>
    <x v="34"/>
    <s v="P035"/>
    <x v="30"/>
    <x v="2"/>
    <s v="Belagavi"/>
    <x v="3"/>
    <n v="15"/>
    <n v="3500"/>
    <n v="12"/>
    <n v="52500"/>
    <n v="6300"/>
    <x v="34"/>
    <s v="August"/>
  </r>
  <r>
    <x v="35"/>
    <s v="P036"/>
    <x v="31"/>
    <x v="2"/>
    <s v="Shivamogga"/>
    <x v="3"/>
    <n v="9"/>
    <n v="14500"/>
    <n v="10"/>
    <n v="130500"/>
    <n v="13050"/>
    <x v="35"/>
    <s v="September"/>
  </r>
  <r>
    <x v="36"/>
    <s v="P037"/>
    <x v="32"/>
    <x v="2"/>
    <s v="Davanagere"/>
    <x v="3"/>
    <n v="7"/>
    <n v="12000"/>
    <n v="15"/>
    <n v="84000"/>
    <n v="12600"/>
    <x v="36"/>
    <s v="September"/>
  </r>
  <r>
    <x v="37"/>
    <s v="P038"/>
    <x v="33"/>
    <x v="0"/>
    <s v="Ballari"/>
    <x v="3"/>
    <n v="28"/>
    <n v="4500"/>
    <n v="18"/>
    <n v="126000"/>
    <n v="22680"/>
    <x v="37"/>
    <s v="September"/>
  </r>
  <r>
    <x v="38"/>
    <s v="P039"/>
    <x v="34"/>
    <x v="3"/>
    <s v="Bengaluru"/>
    <x v="3"/>
    <n v="34"/>
    <n v="2200"/>
    <n v="20"/>
    <n v="74800"/>
    <n v="14960"/>
    <x v="38"/>
    <s v="September"/>
  </r>
  <r>
    <x v="39"/>
    <s v="P040"/>
    <x v="35"/>
    <x v="3"/>
    <s v="Mysuru"/>
    <x v="3"/>
    <n v="45"/>
    <n v="600"/>
    <n v="25"/>
    <n v="27000"/>
    <n v="6750"/>
    <x v="39"/>
    <s v="October"/>
  </r>
  <r>
    <x v="40"/>
    <s v="P041"/>
    <x v="36"/>
    <x v="0"/>
    <s v="Mumbai"/>
    <x v="0"/>
    <n v="6"/>
    <n v="52000"/>
    <n v="8"/>
    <n v="312000"/>
    <n v="24960"/>
    <x v="40"/>
    <s v="October"/>
  </r>
  <r>
    <x v="41"/>
    <s v="P042"/>
    <x v="37"/>
    <x v="0"/>
    <s v="Ahmedabad"/>
    <x v="1"/>
    <n v="17"/>
    <n v="14500"/>
    <n v="10"/>
    <n v="246500"/>
    <n v="24650"/>
    <x v="41"/>
    <s v="October"/>
  </r>
  <r>
    <x v="42"/>
    <s v="P043"/>
    <x v="38"/>
    <x v="0"/>
    <s v="Jodhpur"/>
    <x v="2"/>
    <n v="22"/>
    <n v="2800"/>
    <n v="12"/>
    <n v="61600"/>
    <n v="7392"/>
    <x v="42"/>
    <s v="October"/>
  </r>
  <r>
    <x v="43"/>
    <s v="P044"/>
    <x v="39"/>
    <x v="0"/>
    <s v="Bengaluru"/>
    <x v="3"/>
    <n v="36"/>
    <n v="1800"/>
    <n v="15"/>
    <n v="64800"/>
    <n v="9720"/>
    <x v="43"/>
    <s v="November"/>
  </r>
  <r>
    <x v="44"/>
    <s v="P045"/>
    <x v="40"/>
    <x v="2"/>
    <s v="Pune"/>
    <x v="0"/>
    <n v="10"/>
    <n v="8500"/>
    <n v="18"/>
    <n v="85000"/>
    <n v="15300"/>
    <x v="44"/>
    <s v="November"/>
  </r>
  <r>
    <x v="45"/>
    <s v="P046"/>
    <x v="41"/>
    <x v="1"/>
    <s v="Surat"/>
    <x v="1"/>
    <n v="4"/>
    <n v="32000"/>
    <n v="10"/>
    <n v="128000"/>
    <n v="12800"/>
    <x v="45"/>
    <s v="November"/>
  </r>
  <r>
    <x v="46"/>
    <s v="P047"/>
    <x v="42"/>
    <x v="0"/>
    <s v="Jodhpur"/>
    <x v="2"/>
    <n v="18"/>
    <n v="2500"/>
    <n v="12"/>
    <n v="45000"/>
    <n v="5400"/>
    <x v="46"/>
    <s v="November"/>
  </r>
  <r>
    <x v="47"/>
    <s v="P048"/>
    <x v="43"/>
    <x v="2"/>
    <s v="Mangaluru"/>
    <x v="3"/>
    <n v="27"/>
    <n v="1200"/>
    <n v="20"/>
    <n v="32400"/>
    <n v="6480"/>
    <x v="47"/>
    <s v="November"/>
  </r>
  <r>
    <x v="48"/>
    <s v="P049"/>
    <x v="44"/>
    <x v="3"/>
    <s v="Nagpur"/>
    <x v="0"/>
    <n v="21"/>
    <n v="2800"/>
    <n v="15"/>
    <n v="58800"/>
    <n v="8820"/>
    <x v="48"/>
    <s v="December"/>
  </r>
  <r>
    <x v="49"/>
    <s v="P050"/>
    <x v="45"/>
    <x v="1"/>
    <s v="Vadodara"/>
    <x v="1"/>
    <n v="8"/>
    <n v="15000"/>
    <n v="10"/>
    <n v="120000"/>
    <n v="12000"/>
    <x v="49"/>
    <s v="Decemb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D18:E29" firstHeaderRow="1" firstDataRow="1" firstDataCol="1"/>
  <pivotFields count="14">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measureFilter="1" sortType="descending">
      <items count="47">
        <item x="6"/>
        <item x="40"/>
        <item x="9"/>
        <item x="33"/>
        <item x="22"/>
        <item x="36"/>
        <item x="35"/>
        <item x="23"/>
        <item x="29"/>
        <item x="24"/>
        <item x="43"/>
        <item x="28"/>
        <item x="3"/>
        <item x="42"/>
        <item x="15"/>
        <item x="34"/>
        <item x="30"/>
        <item x="26"/>
        <item x="18"/>
        <item x="19"/>
        <item x="0"/>
        <item x="7"/>
        <item x="5"/>
        <item x="37"/>
        <item x="20"/>
        <item x="45"/>
        <item x="2"/>
        <item x="21"/>
        <item x="39"/>
        <item x="4"/>
        <item x="14"/>
        <item x="38"/>
        <item x="27"/>
        <item x="8"/>
        <item x="16"/>
        <item x="1"/>
        <item x="44"/>
        <item x="11"/>
        <item x="12"/>
        <item x="10"/>
        <item x="25"/>
        <item x="17"/>
        <item x="32"/>
        <item x="41"/>
        <item x="13"/>
        <item x="31"/>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pivotField showAll="0"/>
    <pivotField showAll="0"/>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11">
    <i>
      <x v="20"/>
    </i>
    <i>
      <x v="35"/>
    </i>
    <i>
      <x v="39"/>
    </i>
    <i>
      <x v="5"/>
    </i>
    <i>
      <x v="40"/>
    </i>
    <i>
      <x v="30"/>
    </i>
    <i>
      <x/>
    </i>
    <i>
      <x v="23"/>
    </i>
    <i>
      <x v="34"/>
    </i>
    <i>
      <x v="44"/>
    </i>
    <i t="grand">
      <x/>
    </i>
  </rowItems>
  <colItems count="1">
    <i/>
  </colItems>
  <dataFields count="1">
    <dataField name="Sum of Net sales" fld="11"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D3:E8" firstHeaderRow="1" firstDataRow="1" firstDataCol="1"/>
  <pivotFields count="14">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7">
        <item x="6"/>
        <item x="40"/>
        <item x="9"/>
        <item x="33"/>
        <item x="22"/>
        <item x="36"/>
        <item x="35"/>
        <item x="23"/>
        <item x="29"/>
        <item x="24"/>
        <item x="43"/>
        <item x="28"/>
        <item x="3"/>
        <item x="42"/>
        <item x="15"/>
        <item x="34"/>
        <item x="30"/>
        <item x="26"/>
        <item x="18"/>
        <item x="19"/>
        <item x="0"/>
        <item x="7"/>
        <item x="5"/>
        <item x="37"/>
        <item x="20"/>
        <item x="45"/>
        <item x="2"/>
        <item x="21"/>
        <item x="39"/>
        <item x="4"/>
        <item x="14"/>
        <item x="38"/>
        <item x="27"/>
        <item x="8"/>
        <item x="16"/>
        <item x="1"/>
        <item x="44"/>
        <item x="11"/>
        <item x="12"/>
        <item x="10"/>
        <item x="25"/>
        <item x="17"/>
        <item x="32"/>
        <item x="41"/>
        <item x="13"/>
        <item x="31"/>
        <item t="default"/>
      </items>
    </pivotField>
    <pivotField axis="axisRow" showAll="0">
      <items count="5">
        <item x="0"/>
        <item x="3"/>
        <item x="1"/>
        <item x="2"/>
        <item t="default"/>
      </items>
    </pivotField>
    <pivotField showAll="0"/>
    <pivotField showAll="0"/>
    <pivotField showAll="0"/>
    <pivotField showAll="0"/>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5">
    <i>
      <x/>
    </i>
    <i>
      <x v="1"/>
    </i>
    <i>
      <x v="2"/>
    </i>
    <i>
      <x v="3"/>
    </i>
    <i t="grand">
      <x/>
    </i>
  </rowItems>
  <colItems count="1">
    <i/>
  </colItems>
  <dataFields count="1">
    <dataField name="Sum of Net sales" fld="11"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14">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3"/>
    <field x="0"/>
  </rowFields>
  <rowItems count="13">
    <i>
      <x v="1"/>
    </i>
    <i>
      <x v="2"/>
    </i>
    <i>
      <x v="3"/>
    </i>
    <i>
      <x v="4"/>
    </i>
    <i>
      <x v="5"/>
    </i>
    <i>
      <x v="6"/>
    </i>
    <i>
      <x v="7"/>
    </i>
    <i>
      <x v="8"/>
    </i>
    <i>
      <x v="9"/>
    </i>
    <i>
      <x v="10"/>
    </i>
    <i>
      <x v="11"/>
    </i>
    <i>
      <x v="12"/>
    </i>
    <i t="grand">
      <x/>
    </i>
  </rowItems>
  <colItems count="1">
    <i/>
  </colItems>
  <dataFields count="1">
    <dataField name="Sum of Net sales" fld="11" baseField="0" baseItem="0"/>
  </dataFields>
  <formats count="52">
    <format dxfId="468">
      <pivotArea collapsedLevelsAreSubtotals="1" fieldPosition="0">
        <references count="1">
          <reference field="13" count="1">
            <x v="1"/>
          </reference>
        </references>
      </pivotArea>
    </format>
    <format dxfId="469">
      <pivotArea collapsedLevelsAreSubtotals="1" fieldPosition="0">
        <references count="1">
          <reference field="13" count="1">
            <x v="2"/>
          </reference>
        </references>
      </pivotArea>
    </format>
    <format dxfId="470">
      <pivotArea collapsedLevelsAreSubtotals="1" fieldPosition="0">
        <references count="1">
          <reference field="13" count="1">
            <x v="3"/>
          </reference>
        </references>
      </pivotArea>
    </format>
    <format dxfId="471">
      <pivotArea collapsedLevelsAreSubtotals="1" fieldPosition="0">
        <references count="1">
          <reference field="13" count="1">
            <x v="4"/>
          </reference>
        </references>
      </pivotArea>
    </format>
    <format dxfId="472">
      <pivotArea collapsedLevelsAreSubtotals="1" fieldPosition="0">
        <references count="1">
          <reference field="13" count="1">
            <x v="5"/>
          </reference>
        </references>
      </pivotArea>
    </format>
    <format dxfId="473">
      <pivotArea collapsedLevelsAreSubtotals="1" fieldPosition="0">
        <references count="1">
          <reference field="13" count="1">
            <x v="6"/>
          </reference>
        </references>
      </pivotArea>
    </format>
    <format dxfId="474">
      <pivotArea collapsedLevelsAreSubtotals="1" fieldPosition="0">
        <references count="1">
          <reference field="13" count="1">
            <x v="7"/>
          </reference>
        </references>
      </pivotArea>
    </format>
    <format dxfId="475">
      <pivotArea collapsedLevelsAreSubtotals="1" fieldPosition="0">
        <references count="1">
          <reference field="13" count="1">
            <x v="8"/>
          </reference>
        </references>
      </pivotArea>
    </format>
    <format dxfId="476">
      <pivotArea collapsedLevelsAreSubtotals="1" fieldPosition="0">
        <references count="1">
          <reference field="13" count="1">
            <x v="9"/>
          </reference>
        </references>
      </pivotArea>
    </format>
    <format dxfId="477">
      <pivotArea collapsedLevelsAreSubtotals="1" fieldPosition="0">
        <references count="1">
          <reference field="13" count="1">
            <x v="10"/>
          </reference>
        </references>
      </pivotArea>
    </format>
    <format dxfId="478">
      <pivotArea collapsedLevelsAreSubtotals="1" fieldPosition="0">
        <references count="1">
          <reference field="13" count="1">
            <x v="11"/>
          </reference>
        </references>
      </pivotArea>
    </format>
    <format dxfId="479">
      <pivotArea collapsedLevelsAreSubtotals="1" fieldPosition="0">
        <references count="1">
          <reference field="13" count="1">
            <x v="12"/>
          </reference>
        </references>
      </pivotArea>
    </format>
    <format dxfId="480">
      <pivotArea dataOnly="0" labelOnly="1" fieldPosition="0">
        <references count="1">
          <reference field="13" count="12">
            <x v="1"/>
            <x v="2"/>
            <x v="3"/>
            <x v="4"/>
            <x v="5"/>
            <x v="6"/>
            <x v="7"/>
            <x v="8"/>
            <x v="9"/>
            <x v="10"/>
            <x v="11"/>
            <x v="12"/>
          </reference>
        </references>
      </pivotArea>
    </format>
    <format dxfId="481">
      <pivotArea collapsedLevelsAreSubtotals="1" fieldPosition="0">
        <references count="1">
          <reference field="13" count="1">
            <x v="1"/>
          </reference>
        </references>
      </pivotArea>
    </format>
    <format dxfId="482">
      <pivotArea collapsedLevelsAreSubtotals="1" fieldPosition="0">
        <references count="1">
          <reference field="13" count="1">
            <x v="2"/>
          </reference>
        </references>
      </pivotArea>
    </format>
    <format dxfId="483">
      <pivotArea collapsedLevelsAreSubtotals="1" fieldPosition="0">
        <references count="1">
          <reference field="13" count="1">
            <x v="3"/>
          </reference>
        </references>
      </pivotArea>
    </format>
    <format dxfId="484">
      <pivotArea collapsedLevelsAreSubtotals="1" fieldPosition="0">
        <references count="1">
          <reference field="13" count="1">
            <x v="4"/>
          </reference>
        </references>
      </pivotArea>
    </format>
    <format dxfId="485">
      <pivotArea collapsedLevelsAreSubtotals="1" fieldPosition="0">
        <references count="1">
          <reference field="13" count="1">
            <x v="5"/>
          </reference>
        </references>
      </pivotArea>
    </format>
    <format dxfId="486">
      <pivotArea collapsedLevelsAreSubtotals="1" fieldPosition="0">
        <references count="1">
          <reference field="13" count="1">
            <x v="6"/>
          </reference>
        </references>
      </pivotArea>
    </format>
    <format dxfId="487">
      <pivotArea collapsedLevelsAreSubtotals="1" fieldPosition="0">
        <references count="1">
          <reference field="13" count="1">
            <x v="7"/>
          </reference>
        </references>
      </pivotArea>
    </format>
    <format dxfId="488">
      <pivotArea collapsedLevelsAreSubtotals="1" fieldPosition="0">
        <references count="1">
          <reference field="13" count="1">
            <x v="8"/>
          </reference>
        </references>
      </pivotArea>
    </format>
    <format dxfId="489">
      <pivotArea collapsedLevelsAreSubtotals="1" fieldPosition="0">
        <references count="1">
          <reference field="13" count="1">
            <x v="9"/>
          </reference>
        </references>
      </pivotArea>
    </format>
    <format dxfId="490">
      <pivotArea collapsedLevelsAreSubtotals="1" fieldPosition="0">
        <references count="1">
          <reference field="13" count="1">
            <x v="10"/>
          </reference>
        </references>
      </pivotArea>
    </format>
    <format dxfId="491">
      <pivotArea collapsedLevelsAreSubtotals="1" fieldPosition="0">
        <references count="1">
          <reference field="13" count="1">
            <x v="11"/>
          </reference>
        </references>
      </pivotArea>
    </format>
    <format dxfId="492">
      <pivotArea collapsedLevelsAreSubtotals="1" fieldPosition="0">
        <references count="1">
          <reference field="13" count="1">
            <x v="12"/>
          </reference>
        </references>
      </pivotArea>
    </format>
    <format dxfId="493">
      <pivotArea dataOnly="0" labelOnly="1" fieldPosition="0">
        <references count="1">
          <reference field="13" count="12">
            <x v="1"/>
            <x v="2"/>
            <x v="3"/>
            <x v="4"/>
            <x v="5"/>
            <x v="6"/>
            <x v="7"/>
            <x v="8"/>
            <x v="9"/>
            <x v="10"/>
            <x v="11"/>
            <x v="12"/>
          </reference>
        </references>
      </pivotArea>
    </format>
    <format dxfId="494">
      <pivotArea collapsedLevelsAreSubtotals="1" fieldPosition="0">
        <references count="1">
          <reference field="13" count="1">
            <x v="1"/>
          </reference>
        </references>
      </pivotArea>
    </format>
    <format dxfId="495">
      <pivotArea collapsedLevelsAreSubtotals="1" fieldPosition="0">
        <references count="1">
          <reference field="13" count="1">
            <x v="2"/>
          </reference>
        </references>
      </pivotArea>
    </format>
    <format dxfId="496">
      <pivotArea collapsedLevelsAreSubtotals="1" fieldPosition="0">
        <references count="1">
          <reference field="13" count="1">
            <x v="3"/>
          </reference>
        </references>
      </pivotArea>
    </format>
    <format dxfId="497">
      <pivotArea collapsedLevelsAreSubtotals="1" fieldPosition="0">
        <references count="1">
          <reference field="13" count="1">
            <x v="4"/>
          </reference>
        </references>
      </pivotArea>
    </format>
    <format dxfId="498">
      <pivotArea collapsedLevelsAreSubtotals="1" fieldPosition="0">
        <references count="1">
          <reference field="13" count="1">
            <x v="5"/>
          </reference>
        </references>
      </pivotArea>
    </format>
    <format dxfId="499">
      <pivotArea collapsedLevelsAreSubtotals="1" fieldPosition="0">
        <references count="1">
          <reference field="13" count="1">
            <x v="6"/>
          </reference>
        </references>
      </pivotArea>
    </format>
    <format dxfId="500">
      <pivotArea collapsedLevelsAreSubtotals="1" fieldPosition="0">
        <references count="1">
          <reference field="13" count="1">
            <x v="7"/>
          </reference>
        </references>
      </pivotArea>
    </format>
    <format dxfId="501">
      <pivotArea collapsedLevelsAreSubtotals="1" fieldPosition="0">
        <references count="1">
          <reference field="13" count="1">
            <x v="8"/>
          </reference>
        </references>
      </pivotArea>
    </format>
    <format dxfId="502">
      <pivotArea collapsedLevelsAreSubtotals="1" fieldPosition="0">
        <references count="1">
          <reference field="13" count="1">
            <x v="9"/>
          </reference>
        </references>
      </pivotArea>
    </format>
    <format dxfId="503">
      <pivotArea collapsedLevelsAreSubtotals="1" fieldPosition="0">
        <references count="1">
          <reference field="13" count="1">
            <x v="10"/>
          </reference>
        </references>
      </pivotArea>
    </format>
    <format dxfId="504">
      <pivotArea collapsedLevelsAreSubtotals="1" fieldPosition="0">
        <references count="1">
          <reference field="13" count="1">
            <x v="11"/>
          </reference>
        </references>
      </pivotArea>
    </format>
    <format dxfId="505">
      <pivotArea collapsedLevelsAreSubtotals="1" fieldPosition="0">
        <references count="1">
          <reference field="13" count="1">
            <x v="12"/>
          </reference>
        </references>
      </pivotArea>
    </format>
    <format dxfId="506">
      <pivotArea dataOnly="0" labelOnly="1" fieldPosition="0">
        <references count="1">
          <reference field="13" count="12">
            <x v="1"/>
            <x v="2"/>
            <x v="3"/>
            <x v="4"/>
            <x v="5"/>
            <x v="6"/>
            <x v="7"/>
            <x v="8"/>
            <x v="9"/>
            <x v="10"/>
            <x v="11"/>
            <x v="12"/>
          </reference>
        </references>
      </pivotArea>
    </format>
    <format dxfId="507">
      <pivotArea collapsedLevelsAreSubtotals="1" fieldPosition="0">
        <references count="1">
          <reference field="13" count="1">
            <x v="1"/>
          </reference>
        </references>
      </pivotArea>
    </format>
    <format dxfId="508">
      <pivotArea collapsedLevelsAreSubtotals="1" fieldPosition="0">
        <references count="1">
          <reference field="13" count="1">
            <x v="2"/>
          </reference>
        </references>
      </pivotArea>
    </format>
    <format dxfId="509">
      <pivotArea collapsedLevelsAreSubtotals="1" fieldPosition="0">
        <references count="1">
          <reference field="13" count="1">
            <x v="3"/>
          </reference>
        </references>
      </pivotArea>
    </format>
    <format dxfId="510">
      <pivotArea collapsedLevelsAreSubtotals="1" fieldPosition="0">
        <references count="1">
          <reference field="13" count="1">
            <x v="4"/>
          </reference>
        </references>
      </pivotArea>
    </format>
    <format dxfId="511">
      <pivotArea collapsedLevelsAreSubtotals="1" fieldPosition="0">
        <references count="1">
          <reference field="13" count="1">
            <x v="5"/>
          </reference>
        </references>
      </pivotArea>
    </format>
    <format dxfId="512">
      <pivotArea collapsedLevelsAreSubtotals="1" fieldPosition="0">
        <references count="1">
          <reference field="13" count="1">
            <x v="6"/>
          </reference>
        </references>
      </pivotArea>
    </format>
    <format dxfId="513">
      <pivotArea collapsedLevelsAreSubtotals="1" fieldPosition="0">
        <references count="1">
          <reference field="13" count="1">
            <x v="7"/>
          </reference>
        </references>
      </pivotArea>
    </format>
    <format dxfId="514">
      <pivotArea collapsedLevelsAreSubtotals="1" fieldPosition="0">
        <references count="1">
          <reference field="13" count="1">
            <x v="8"/>
          </reference>
        </references>
      </pivotArea>
    </format>
    <format dxfId="515">
      <pivotArea collapsedLevelsAreSubtotals="1" fieldPosition="0">
        <references count="1">
          <reference field="13" count="1">
            <x v="9"/>
          </reference>
        </references>
      </pivotArea>
    </format>
    <format dxfId="516">
      <pivotArea collapsedLevelsAreSubtotals="1" fieldPosition="0">
        <references count="1">
          <reference field="13" count="1">
            <x v="10"/>
          </reference>
        </references>
      </pivotArea>
    </format>
    <format dxfId="517">
      <pivotArea collapsedLevelsAreSubtotals="1" fieldPosition="0">
        <references count="1">
          <reference field="13" count="1">
            <x v="11"/>
          </reference>
        </references>
      </pivotArea>
    </format>
    <format dxfId="518">
      <pivotArea collapsedLevelsAreSubtotals="1" fieldPosition="0">
        <references count="1">
          <reference field="13" count="1">
            <x v="12"/>
          </reference>
        </references>
      </pivotArea>
    </format>
    <format dxfId="519">
      <pivotArea dataOnly="0" labelOnly="1" fieldPosition="0">
        <references count="1">
          <reference field="13" count="12">
            <x v="1"/>
            <x v="2"/>
            <x v="3"/>
            <x v="4"/>
            <x v="5"/>
            <x v="6"/>
            <x v="7"/>
            <x v="8"/>
            <x v="9"/>
            <x v="10"/>
            <x v="11"/>
            <x v="12"/>
          </reference>
        </references>
      </pivotArea>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11:H16" firstHeaderRow="1" firstDataRow="1" firstDataCol="1"/>
  <pivotFields count="14">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0"/>
        <item x="3"/>
        <item x="1"/>
        <item x="2"/>
        <item t="default"/>
      </items>
    </pivotField>
    <pivotField showAll="0"/>
    <pivotField showAll="0"/>
    <pivotField showAll="0"/>
    <pivotField showAll="0"/>
    <pivotField dataField="1"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5">
    <i>
      <x/>
    </i>
    <i>
      <x v="1"/>
    </i>
    <i>
      <x v="2"/>
    </i>
    <i>
      <x v="3"/>
    </i>
    <i t="grand">
      <x/>
    </i>
  </rowItems>
  <colItems count="1">
    <i/>
  </colItems>
  <dataFields count="1">
    <dataField name="Average of discount_in_percentage" fld="8" subtotal="average" baseField="3" baseItem="0" numFmtId="165"/>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J3:K8" firstHeaderRow="1" firstDataRow="1" firstDataCol="1" rowPageCount="1" colPageCount="1"/>
  <pivotFields count="14">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0"/>
        <item x="3"/>
        <item x="1"/>
        <item x="2"/>
        <item t="default"/>
      </items>
    </pivotField>
    <pivotField showAll="0"/>
    <pivotField showAll="0">
      <items count="5">
        <item x="1"/>
        <item x="3"/>
        <item x="0"/>
        <item x="2"/>
        <item t="default"/>
      </items>
    </pivotField>
    <pivotField dataField="1" showAll="0"/>
    <pivotField showAll="0"/>
    <pivotField showAll="0"/>
    <pivotField showAll="0"/>
    <pivotField showAll="0"/>
    <pivotField axis="axisPage" showAll="0">
      <items count="51">
        <item x="39"/>
        <item x="47"/>
        <item x="22"/>
        <item x="18"/>
        <item x="21"/>
        <item x="29"/>
        <item x="46"/>
        <item x="9"/>
        <item x="19"/>
        <item x="25"/>
        <item x="34"/>
        <item x="48"/>
        <item x="42"/>
        <item x="43"/>
        <item x="5"/>
        <item x="38"/>
        <item x="28"/>
        <item x="8"/>
        <item x="44"/>
        <item x="36"/>
        <item x="32"/>
        <item x="24"/>
        <item x="33"/>
        <item x="16"/>
        <item x="23"/>
        <item x="26"/>
        <item x="2"/>
        <item x="13"/>
        <item x="37"/>
        <item x="49"/>
        <item x="4"/>
        <item x="45"/>
        <item x="7"/>
        <item x="35"/>
        <item x="3"/>
        <item x="12"/>
        <item x="14"/>
        <item x="17"/>
        <item x="41"/>
        <item x="6"/>
        <item x="15"/>
        <item x="27"/>
        <item x="40"/>
        <item x="11"/>
        <item x="10"/>
        <item x="1"/>
        <item x="20"/>
        <item x="0"/>
        <item x="31"/>
        <item x="30"/>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5">
    <i>
      <x/>
    </i>
    <i>
      <x v="1"/>
    </i>
    <i>
      <x v="2"/>
    </i>
    <i>
      <x v="3"/>
    </i>
    <i t="grand">
      <x/>
    </i>
  </rowItems>
  <colItems count="1">
    <i/>
  </colItems>
  <pageFields count="1">
    <pageField fld="11" hier="-1"/>
  </pageFields>
  <dataFields count="1">
    <dataField name="Sum of quantity" fld="6" baseField="0" baseItem="0"/>
  </dataFields>
  <chartFormats count="5">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G3:H8" firstHeaderRow="1" firstDataRow="1" firstDataCol="1"/>
  <pivotFields count="14">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0"/>
        <item x="3"/>
        <item x="1"/>
        <item x="2"/>
        <item t="default"/>
      </items>
    </pivotField>
    <pivotField showAll="0"/>
    <pivotField axis="axisRow" showAll="0">
      <items count="5">
        <item x="1"/>
        <item x="3"/>
        <item x="0"/>
        <item x="2"/>
        <item t="default"/>
      </items>
    </pivotField>
    <pivotField showAll="0"/>
    <pivotField showAll="0"/>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5">
    <i>
      <x/>
    </i>
    <i>
      <x v="1"/>
    </i>
    <i>
      <x v="2"/>
    </i>
    <i>
      <x v="3"/>
    </i>
    <i t="grand">
      <x/>
    </i>
  </rowItems>
  <colItems count="1">
    <i/>
  </colItems>
  <dataFields count="1">
    <dataField name="Sum of Net sales" fld="11"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7" name="PivotTable2"/>
    <pivotTable tabId="7" name="PivotTable1"/>
    <pivotTable tabId="7" name="PivotTable3"/>
    <pivotTable tabId="7" name="PivotTable4"/>
    <pivotTable tabId="7" name="PivotTable5"/>
    <pivotTable tabId="7" name="PivotTable6"/>
  </pivotTables>
  <data>
    <tabular pivotCacheId="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2"/>
  </pivotTables>
  <data>
    <tabular pivotCacheId="1">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columnCount="12" style="SlicerStyleOther2" rowHeight="234950"/>
  <slicer name="category" cache="Slicer_category" caption="category" style="SlicerStyleOther2" rowHeight="234950"/>
</slicers>
</file>

<file path=xl/tables/table1.xml><?xml version="1.0" encoding="utf-8"?>
<table xmlns="http://schemas.openxmlformats.org/spreadsheetml/2006/main" id="1" name="Table1" displayName="Table1" ref="A1:M51" totalsRowShown="0">
  <autoFilter ref="A1:M51"/>
  <tableColumns count="13">
    <tableColumn id="1" name="date" dataDxfId="576"/>
    <tableColumn id="2" name="product_id"/>
    <tableColumn id="3" name="product_name"/>
    <tableColumn id="4" name="category"/>
    <tableColumn id="5" name="city"/>
    <tableColumn id="6" name="state"/>
    <tableColumn id="7" name="quantity"/>
    <tableColumn id="8" name="price_per_unit"/>
    <tableColumn id="9" name="discount_in_percentage"/>
    <tableColumn id="10" name="Total Sales" dataDxfId="575">
      <calculatedColumnFormula>Table1[[#This Row],[price_per_unit]]*Table1[[#This Row],[quantity]]</calculatedColumnFormula>
    </tableColumn>
    <tableColumn id="11" name="Discount amount" dataDxfId="574">
      <calculatedColumnFormula>Table1[[#This Row],[Total Sales]]*Table1[[#This Row],[discount_in_percentage]]/100</calculatedColumnFormula>
    </tableColumn>
    <tableColumn id="12" name="Net sales" dataDxfId="573">
      <calculatedColumnFormula>Table1[[#This Row],[Total Sales]]-Table1[[#This Row],[Discount amount]]</calculatedColumnFormula>
    </tableColumn>
    <tableColumn id="13" name="Month" dataDxfId="572">
      <calculatedColumnFormula>TEXT(Table1[[#This Row],[date]],"mmmm")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election activeCell="F25" sqref="F25"/>
    </sheetView>
  </sheetViews>
  <sheetFormatPr defaultRowHeight="14.4" x14ac:dyDescent="0.3"/>
  <cols>
    <col min="1" max="1" width="12.5546875" bestFit="1" customWidth="1"/>
    <col min="2" max="2" width="15" bestFit="1" customWidth="1"/>
    <col min="4" max="4" width="15.109375" customWidth="1"/>
    <col min="5" max="5" width="15" customWidth="1"/>
    <col min="6" max="6" width="15" bestFit="1" customWidth="1"/>
    <col min="7" max="7" width="15.109375" customWidth="1"/>
    <col min="8" max="8" width="31.33203125" customWidth="1"/>
    <col min="9" max="9" width="28.109375" bestFit="1" customWidth="1"/>
    <col min="10" max="10" width="15.109375" customWidth="1"/>
    <col min="11" max="11" width="14.6640625" customWidth="1"/>
    <col min="12" max="12" width="14.6640625" bestFit="1" customWidth="1"/>
  </cols>
  <sheetData>
    <row r="1" spans="1:11" x14ac:dyDescent="0.3">
      <c r="J1" s="3" t="s">
        <v>147</v>
      </c>
      <c r="K1" s="6" t="s">
        <v>165</v>
      </c>
    </row>
    <row r="3" spans="1:11" x14ac:dyDescent="0.3">
      <c r="A3" s="3" t="s">
        <v>149</v>
      </c>
      <c r="B3" t="s">
        <v>151</v>
      </c>
      <c r="D3" s="3" t="s">
        <v>149</v>
      </c>
      <c r="E3" t="s">
        <v>151</v>
      </c>
      <c r="G3" s="3" t="s">
        <v>149</v>
      </c>
      <c r="H3" t="s">
        <v>151</v>
      </c>
      <c r="J3" s="3" t="s">
        <v>149</v>
      </c>
      <c r="K3" t="s">
        <v>153</v>
      </c>
    </row>
    <row r="4" spans="1:11" x14ac:dyDescent="0.3">
      <c r="A4" s="12" t="s">
        <v>154</v>
      </c>
      <c r="B4" s="13">
        <v>1555520</v>
      </c>
      <c r="D4" s="4" t="s">
        <v>11</v>
      </c>
      <c r="E4" s="2">
        <v>5924478</v>
      </c>
      <c r="G4" s="4" t="s">
        <v>44</v>
      </c>
      <c r="H4" s="2">
        <v>2326280</v>
      </c>
      <c r="J4" s="4" t="s">
        <v>11</v>
      </c>
      <c r="K4" s="2">
        <v>393</v>
      </c>
    </row>
    <row r="5" spans="1:11" x14ac:dyDescent="0.3">
      <c r="A5" s="12" t="s">
        <v>155</v>
      </c>
      <c r="B5" s="13">
        <v>515240</v>
      </c>
      <c r="D5" s="4" t="s">
        <v>39</v>
      </c>
      <c r="E5" s="2">
        <v>406050</v>
      </c>
      <c r="G5" s="4" t="s">
        <v>100</v>
      </c>
      <c r="H5" s="2">
        <v>2202920</v>
      </c>
      <c r="J5" s="4" t="s">
        <v>39</v>
      </c>
      <c r="K5" s="2">
        <v>297</v>
      </c>
    </row>
    <row r="6" spans="1:11" x14ac:dyDescent="0.3">
      <c r="A6" s="12" t="s">
        <v>156</v>
      </c>
      <c r="B6" s="13">
        <v>1137440</v>
      </c>
      <c r="D6" s="4" t="s">
        <v>19</v>
      </c>
      <c r="E6" s="2">
        <v>961840</v>
      </c>
      <c r="G6" s="4" t="s">
        <v>13</v>
      </c>
      <c r="H6" s="2">
        <v>2581920</v>
      </c>
      <c r="J6" s="4" t="s">
        <v>19</v>
      </c>
      <c r="K6" s="2">
        <v>112</v>
      </c>
    </row>
    <row r="7" spans="1:11" x14ac:dyDescent="0.3">
      <c r="A7" s="12" t="s">
        <v>157</v>
      </c>
      <c r="B7" s="13">
        <v>606730</v>
      </c>
      <c r="D7" s="4" t="s">
        <v>29</v>
      </c>
      <c r="E7" s="2">
        <v>1292100</v>
      </c>
      <c r="G7" s="4" t="s">
        <v>72</v>
      </c>
      <c r="H7" s="2">
        <v>1473348</v>
      </c>
      <c r="J7" s="4" t="s">
        <v>29</v>
      </c>
      <c r="K7" s="2">
        <v>154</v>
      </c>
    </row>
    <row r="8" spans="1:11" x14ac:dyDescent="0.3">
      <c r="A8" s="12" t="s">
        <v>152</v>
      </c>
      <c r="B8" s="13">
        <v>889180</v>
      </c>
      <c r="D8" s="4" t="s">
        <v>150</v>
      </c>
      <c r="E8" s="2">
        <v>8584468</v>
      </c>
      <c r="G8" s="4" t="s">
        <v>150</v>
      </c>
      <c r="H8" s="2">
        <v>8584468</v>
      </c>
      <c r="J8" s="4" t="s">
        <v>150</v>
      </c>
      <c r="K8" s="2">
        <v>956</v>
      </c>
    </row>
    <row r="9" spans="1:11" x14ac:dyDescent="0.3">
      <c r="A9" s="12" t="s">
        <v>158</v>
      </c>
      <c r="B9" s="13">
        <v>264100</v>
      </c>
    </row>
    <row r="10" spans="1:11" x14ac:dyDescent="0.3">
      <c r="A10" s="12" t="s">
        <v>159</v>
      </c>
      <c r="B10" s="13">
        <v>467760</v>
      </c>
    </row>
    <row r="11" spans="1:11" x14ac:dyDescent="0.3">
      <c r="A11" s="12" t="s">
        <v>160</v>
      </c>
      <c r="B11" s="13">
        <v>1749660</v>
      </c>
      <c r="D11" s="7"/>
      <c r="E11" s="7"/>
      <c r="G11" s="3" t="s">
        <v>149</v>
      </c>
      <c r="H11" t="s">
        <v>166</v>
      </c>
    </row>
    <row r="12" spans="1:11" x14ac:dyDescent="0.3">
      <c r="A12" s="12" t="s">
        <v>161</v>
      </c>
      <c r="B12" s="13">
        <v>352010</v>
      </c>
      <c r="D12" s="4"/>
      <c r="E12" s="2"/>
      <c r="G12" s="4" t="s">
        <v>11</v>
      </c>
      <c r="H12" s="10">
        <v>11.421052631578947</v>
      </c>
    </row>
    <row r="13" spans="1:11" x14ac:dyDescent="0.3">
      <c r="A13" s="12" t="s">
        <v>162</v>
      </c>
      <c r="B13" s="13">
        <v>583348</v>
      </c>
      <c r="D13" s="4"/>
      <c r="E13" s="2"/>
      <c r="G13" s="4" t="s">
        <v>39</v>
      </c>
      <c r="H13" s="10">
        <v>19.777777777777779</v>
      </c>
    </row>
    <row r="14" spans="1:11" x14ac:dyDescent="0.3">
      <c r="A14" s="12" t="s">
        <v>163</v>
      </c>
      <c r="B14" s="13">
        <v>305500</v>
      </c>
      <c r="D14" s="4"/>
      <c r="E14" s="2"/>
      <c r="G14" s="4" t="s">
        <v>19</v>
      </c>
      <c r="H14" s="10">
        <v>11.3</v>
      </c>
    </row>
    <row r="15" spans="1:11" x14ac:dyDescent="0.3">
      <c r="A15" s="12" t="s">
        <v>164</v>
      </c>
      <c r="B15" s="13">
        <v>157980</v>
      </c>
      <c r="D15" s="4"/>
      <c r="E15" s="2"/>
      <c r="G15" s="4" t="s">
        <v>29</v>
      </c>
      <c r="H15" s="10">
        <v>13.416666666666666</v>
      </c>
    </row>
    <row r="16" spans="1:11" x14ac:dyDescent="0.3">
      <c r="A16" s="4" t="s">
        <v>150</v>
      </c>
      <c r="B16" s="2">
        <v>8584468</v>
      </c>
      <c r="D16" s="8"/>
      <c r="E16" s="9"/>
      <c r="G16" s="4" t="s">
        <v>150</v>
      </c>
      <c r="H16" s="10">
        <v>13.38</v>
      </c>
    </row>
    <row r="18" spans="4:9" x14ac:dyDescent="0.3">
      <c r="D18" s="3" t="s">
        <v>149</v>
      </c>
      <c r="E18" t="s">
        <v>151</v>
      </c>
    </row>
    <row r="19" spans="4:9" x14ac:dyDescent="0.3">
      <c r="D19" s="4" t="s">
        <v>10</v>
      </c>
      <c r="E19" s="2">
        <v>2758080</v>
      </c>
      <c r="I19">
        <f>SUM(Table1[Net sales])</f>
        <v>8584468</v>
      </c>
    </row>
    <row r="20" spans="4:9" x14ac:dyDescent="0.3">
      <c r="D20" s="4" t="s">
        <v>15</v>
      </c>
      <c r="E20" s="2">
        <v>1353800</v>
      </c>
      <c r="I20">
        <f>AVERAGE(Sheet!L24:L51)</f>
        <v>137418.5</v>
      </c>
    </row>
    <row r="21" spans="4:9" x14ac:dyDescent="0.3">
      <c r="D21" s="4" t="s">
        <v>46</v>
      </c>
      <c r="E21" s="2">
        <v>345600</v>
      </c>
      <c r="I21">
        <f>MIN(Sheet!L26:L51)</f>
        <v>20250</v>
      </c>
    </row>
    <row r="22" spans="4:9" x14ac:dyDescent="0.3">
      <c r="D22" s="4" t="s">
        <v>126</v>
      </c>
      <c r="E22" s="2">
        <v>287040</v>
      </c>
      <c r="I22">
        <f>MAX(Sheet!L26:L51)</f>
        <v>844200</v>
      </c>
    </row>
    <row r="23" spans="4:9" x14ac:dyDescent="0.3">
      <c r="D23" s="4" t="s">
        <v>92</v>
      </c>
      <c r="E23" s="2">
        <v>282720</v>
      </c>
    </row>
    <row r="24" spans="4:9" x14ac:dyDescent="0.3">
      <c r="D24" s="4" t="s">
        <v>58</v>
      </c>
      <c r="E24" s="2">
        <v>264330</v>
      </c>
    </row>
    <row r="25" spans="4:9" x14ac:dyDescent="0.3">
      <c r="D25" s="4" t="s">
        <v>32</v>
      </c>
      <c r="E25" s="2">
        <v>226800</v>
      </c>
    </row>
    <row r="26" spans="4:9" x14ac:dyDescent="0.3">
      <c r="D26" s="4" t="s">
        <v>128</v>
      </c>
      <c r="E26" s="2">
        <v>221850</v>
      </c>
    </row>
    <row r="27" spans="4:9" x14ac:dyDescent="0.3">
      <c r="D27" s="4" t="s">
        <v>64</v>
      </c>
      <c r="E27" s="2">
        <v>168300</v>
      </c>
    </row>
    <row r="28" spans="4:9" x14ac:dyDescent="0.3">
      <c r="D28" s="4" t="s">
        <v>55</v>
      </c>
      <c r="E28" s="2">
        <v>163800</v>
      </c>
    </row>
    <row r="29" spans="4:9" x14ac:dyDescent="0.3">
      <c r="D29" s="4" t="s">
        <v>150</v>
      </c>
      <c r="E29" s="2">
        <v>6072320</v>
      </c>
    </row>
  </sheetData>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opLeftCell="A26" workbookViewId="0">
      <selection sqref="A1:M51"/>
    </sheetView>
  </sheetViews>
  <sheetFormatPr defaultRowHeight="14.4" x14ac:dyDescent="0.3"/>
  <cols>
    <col min="1" max="1" width="11" customWidth="1"/>
    <col min="2" max="2" width="12.109375" customWidth="1"/>
    <col min="3" max="3" width="15.33203125" customWidth="1"/>
    <col min="4" max="4" width="13.109375" customWidth="1"/>
    <col min="6" max="6" width="13.33203125" customWidth="1"/>
    <col min="7" max="7" width="10.44140625" customWidth="1"/>
    <col min="8" max="8" width="15.109375" customWidth="1"/>
    <col min="9" max="9" width="23.109375" customWidth="1"/>
    <col min="10" max="10" width="12.109375" bestFit="1" customWidth="1"/>
    <col min="11" max="11" width="17.6640625" customWidth="1"/>
    <col min="12" max="12" width="10.77734375" customWidth="1"/>
    <col min="13" max="13" width="26.44140625" customWidth="1"/>
  </cols>
  <sheetData>
    <row r="1" spans="1:13" x14ac:dyDescent="0.3">
      <c r="A1" t="s">
        <v>0</v>
      </c>
      <c r="B1" t="s">
        <v>1</v>
      </c>
      <c r="C1" t="s">
        <v>2</v>
      </c>
      <c r="D1" t="s">
        <v>3</v>
      </c>
      <c r="E1" t="s">
        <v>4</v>
      </c>
      <c r="F1" t="s">
        <v>5</v>
      </c>
      <c r="G1" t="s">
        <v>6</v>
      </c>
      <c r="H1" t="s">
        <v>7</v>
      </c>
      <c r="I1" t="s">
        <v>8</v>
      </c>
      <c r="J1" t="s">
        <v>145</v>
      </c>
      <c r="K1" t="s">
        <v>146</v>
      </c>
      <c r="L1" t="s">
        <v>147</v>
      </c>
      <c r="M1" t="s">
        <v>148</v>
      </c>
    </row>
    <row r="2" spans="1:13" x14ac:dyDescent="0.3">
      <c r="A2" s="1">
        <v>45662</v>
      </c>
      <c r="B2" t="s">
        <v>9</v>
      </c>
      <c r="C2" t="s">
        <v>10</v>
      </c>
      <c r="D2" t="s">
        <v>11</v>
      </c>
      <c r="E2" t="s">
        <v>12</v>
      </c>
      <c r="F2" t="s">
        <v>13</v>
      </c>
      <c r="G2">
        <v>12</v>
      </c>
      <c r="H2">
        <v>65000</v>
      </c>
      <c r="I2">
        <v>10</v>
      </c>
      <c r="J2">
        <f>Table1[[#This Row],[price_per_unit]]*Table1[[#This Row],[quantity]]</f>
        <v>780000</v>
      </c>
      <c r="K2">
        <f>Table1[[#This Row],[Total Sales]]*Table1[[#This Row],[discount_in_percentage]]/100</f>
        <v>78000</v>
      </c>
      <c r="L2">
        <f>Table1[[#This Row],[Total Sales]]-Table1[[#This Row],[Discount amount]]</f>
        <v>702000</v>
      </c>
      <c r="M2" s="5" t="str">
        <f>TEXT(Table1[[#This Row],[date]],"mmmm")</f>
        <v>January</v>
      </c>
    </row>
    <row r="3" spans="1:13" x14ac:dyDescent="0.3">
      <c r="A3" s="1">
        <v>45669</v>
      </c>
      <c r="B3" t="s">
        <v>14</v>
      </c>
      <c r="C3" t="s">
        <v>15</v>
      </c>
      <c r="D3" t="s">
        <v>11</v>
      </c>
      <c r="E3" t="s">
        <v>16</v>
      </c>
      <c r="F3" t="s">
        <v>13</v>
      </c>
      <c r="G3">
        <v>25</v>
      </c>
      <c r="H3">
        <v>28000</v>
      </c>
      <c r="I3">
        <v>8</v>
      </c>
      <c r="J3">
        <f>Table1[[#This Row],[price_per_unit]]*Table1[[#This Row],[quantity]]</f>
        <v>700000</v>
      </c>
      <c r="K3">
        <f>Table1[[#This Row],[Total Sales]]*Table1[[#This Row],[discount_in_percentage]]/100</f>
        <v>56000</v>
      </c>
      <c r="L3">
        <f>Table1[[#This Row],[Total Sales]]-Table1[[#This Row],[Discount amount]]</f>
        <v>644000</v>
      </c>
      <c r="M3" s="2" t="str">
        <f>TEXT(Table1[[#This Row],[date]],"mmmm")</f>
        <v>January</v>
      </c>
    </row>
    <row r="4" spans="1:13" x14ac:dyDescent="0.3">
      <c r="A4" s="1">
        <v>45676</v>
      </c>
      <c r="B4" t="s">
        <v>17</v>
      </c>
      <c r="C4" t="s">
        <v>18</v>
      </c>
      <c r="D4" t="s">
        <v>19</v>
      </c>
      <c r="E4" t="s">
        <v>20</v>
      </c>
      <c r="F4" t="s">
        <v>13</v>
      </c>
      <c r="G4">
        <v>18</v>
      </c>
      <c r="H4">
        <v>5500</v>
      </c>
      <c r="I4">
        <v>12</v>
      </c>
      <c r="J4">
        <f>Table1[[#This Row],[price_per_unit]]*Table1[[#This Row],[quantity]]</f>
        <v>99000</v>
      </c>
      <c r="K4">
        <f>Table1[[#This Row],[Total Sales]]*Table1[[#This Row],[discount_in_percentage]]/100</f>
        <v>11880</v>
      </c>
      <c r="L4">
        <f>Table1[[#This Row],[Total Sales]]-Table1[[#This Row],[Discount amount]]</f>
        <v>87120</v>
      </c>
      <c r="M4" s="2" t="str">
        <f>TEXT(Table1[[#This Row],[date]],"mmmm")</f>
        <v>January</v>
      </c>
    </row>
    <row r="5" spans="1:13" x14ac:dyDescent="0.3">
      <c r="A5" s="1">
        <v>45683</v>
      </c>
      <c r="B5" t="s">
        <v>21</v>
      </c>
      <c r="C5" t="s">
        <v>22</v>
      </c>
      <c r="D5" t="s">
        <v>19</v>
      </c>
      <c r="E5" t="s">
        <v>23</v>
      </c>
      <c r="F5" t="s">
        <v>13</v>
      </c>
      <c r="G5">
        <v>8</v>
      </c>
      <c r="H5">
        <v>18000</v>
      </c>
      <c r="I5">
        <v>15</v>
      </c>
      <c r="J5">
        <f>Table1[[#This Row],[price_per_unit]]*Table1[[#This Row],[quantity]]</f>
        <v>144000</v>
      </c>
      <c r="K5">
        <f>Table1[[#This Row],[Total Sales]]*Table1[[#This Row],[discount_in_percentage]]/100</f>
        <v>21600</v>
      </c>
      <c r="L5">
        <f>Table1[[#This Row],[Total Sales]]-Table1[[#This Row],[Discount amount]]</f>
        <v>122400</v>
      </c>
      <c r="M5" s="2" t="str">
        <f>TEXT(Table1[[#This Row],[date]],"mmmm")</f>
        <v>January</v>
      </c>
    </row>
    <row r="6" spans="1:13" x14ac:dyDescent="0.3">
      <c r="A6" s="1">
        <v>45690</v>
      </c>
      <c r="B6" t="s">
        <v>24</v>
      </c>
      <c r="C6" t="s">
        <v>25</v>
      </c>
      <c r="D6" t="s">
        <v>11</v>
      </c>
      <c r="E6" t="s">
        <v>26</v>
      </c>
      <c r="F6" t="s">
        <v>13</v>
      </c>
      <c r="G6">
        <v>10</v>
      </c>
      <c r="H6">
        <v>12000</v>
      </c>
      <c r="I6">
        <v>5</v>
      </c>
      <c r="J6">
        <f>Table1[[#This Row],[price_per_unit]]*Table1[[#This Row],[quantity]]</f>
        <v>120000</v>
      </c>
      <c r="K6">
        <f>Table1[[#This Row],[Total Sales]]*Table1[[#This Row],[discount_in_percentage]]/100</f>
        <v>6000</v>
      </c>
      <c r="L6">
        <f>Table1[[#This Row],[Total Sales]]-Table1[[#This Row],[Discount amount]]</f>
        <v>114000</v>
      </c>
      <c r="M6" s="2" t="str">
        <f>TEXT(Table1[[#This Row],[date]],"mmmm")</f>
        <v>February</v>
      </c>
    </row>
    <row r="7" spans="1:13" x14ac:dyDescent="0.3">
      <c r="A7" s="1">
        <v>45697</v>
      </c>
      <c r="B7" t="s">
        <v>27</v>
      </c>
      <c r="C7" t="s">
        <v>28</v>
      </c>
      <c r="D7" t="s">
        <v>29</v>
      </c>
      <c r="E7" t="s">
        <v>30</v>
      </c>
      <c r="F7" t="s">
        <v>13</v>
      </c>
      <c r="G7">
        <v>20</v>
      </c>
      <c r="H7">
        <v>3500</v>
      </c>
      <c r="I7">
        <v>18</v>
      </c>
      <c r="J7">
        <f>Table1[[#This Row],[price_per_unit]]*Table1[[#This Row],[quantity]]</f>
        <v>70000</v>
      </c>
      <c r="K7">
        <f>Table1[[#This Row],[Total Sales]]*Table1[[#This Row],[discount_in_percentage]]/100</f>
        <v>12600</v>
      </c>
      <c r="L7">
        <f>Table1[[#This Row],[Total Sales]]-Table1[[#This Row],[Discount amount]]</f>
        <v>57400</v>
      </c>
      <c r="M7" s="2" t="str">
        <f>TEXT(Table1[[#This Row],[date]],"mmmm")</f>
        <v>February</v>
      </c>
    </row>
    <row r="8" spans="1:13" x14ac:dyDescent="0.3">
      <c r="A8" s="1">
        <v>45704</v>
      </c>
      <c r="B8" t="s">
        <v>31</v>
      </c>
      <c r="C8" t="s">
        <v>32</v>
      </c>
      <c r="D8" t="s">
        <v>29</v>
      </c>
      <c r="E8" t="s">
        <v>33</v>
      </c>
      <c r="F8" t="s">
        <v>13</v>
      </c>
      <c r="G8">
        <v>6</v>
      </c>
      <c r="H8">
        <v>42000</v>
      </c>
      <c r="I8">
        <v>10</v>
      </c>
      <c r="J8">
        <f>Table1[[#This Row],[price_per_unit]]*Table1[[#This Row],[quantity]]</f>
        <v>252000</v>
      </c>
      <c r="K8">
        <f>Table1[[#This Row],[Total Sales]]*Table1[[#This Row],[discount_in_percentage]]/100</f>
        <v>25200</v>
      </c>
      <c r="L8">
        <f>Table1[[#This Row],[Total Sales]]-Table1[[#This Row],[Discount amount]]</f>
        <v>226800</v>
      </c>
      <c r="M8" s="2" t="str">
        <f>TEXT(Table1[[#This Row],[date]],"mmmm")</f>
        <v>February</v>
      </c>
    </row>
    <row r="9" spans="1:13" x14ac:dyDescent="0.3">
      <c r="A9" s="1">
        <v>45711</v>
      </c>
      <c r="B9" t="s">
        <v>34</v>
      </c>
      <c r="C9" t="s">
        <v>35</v>
      </c>
      <c r="D9" t="s">
        <v>29</v>
      </c>
      <c r="E9" t="s">
        <v>36</v>
      </c>
      <c r="F9" t="s">
        <v>13</v>
      </c>
      <c r="G9">
        <v>14</v>
      </c>
      <c r="H9">
        <v>9500</v>
      </c>
      <c r="I9">
        <v>12</v>
      </c>
      <c r="J9">
        <f>Table1[[#This Row],[price_per_unit]]*Table1[[#This Row],[quantity]]</f>
        <v>133000</v>
      </c>
      <c r="K9">
        <f>Table1[[#This Row],[Total Sales]]*Table1[[#This Row],[discount_in_percentage]]/100</f>
        <v>15960</v>
      </c>
      <c r="L9">
        <f>Table1[[#This Row],[Total Sales]]-Table1[[#This Row],[Discount amount]]</f>
        <v>117040</v>
      </c>
      <c r="M9" s="2" t="str">
        <f>TEXT(Table1[[#This Row],[date]],"mmmm")</f>
        <v>February</v>
      </c>
    </row>
    <row r="10" spans="1:13" x14ac:dyDescent="0.3">
      <c r="A10" s="1">
        <v>45718</v>
      </c>
      <c r="B10" t="s">
        <v>37</v>
      </c>
      <c r="C10" t="s">
        <v>38</v>
      </c>
      <c r="D10" t="s">
        <v>39</v>
      </c>
      <c r="E10" t="s">
        <v>12</v>
      </c>
      <c r="F10" t="s">
        <v>13</v>
      </c>
      <c r="G10">
        <v>35</v>
      </c>
      <c r="H10">
        <v>2200</v>
      </c>
      <c r="I10">
        <v>20</v>
      </c>
      <c r="J10">
        <f>Table1[[#This Row],[price_per_unit]]*Table1[[#This Row],[quantity]]</f>
        <v>77000</v>
      </c>
      <c r="K10">
        <f>Table1[[#This Row],[Total Sales]]*Table1[[#This Row],[discount_in_percentage]]/100</f>
        <v>15400</v>
      </c>
      <c r="L10">
        <f>Table1[[#This Row],[Total Sales]]-Table1[[#This Row],[Discount amount]]</f>
        <v>61600</v>
      </c>
      <c r="M10" s="2" t="str">
        <f>TEXT(Table1[[#This Row],[date]],"mmmm")</f>
        <v>March</v>
      </c>
    </row>
    <row r="11" spans="1:13" x14ac:dyDescent="0.3">
      <c r="A11" s="1">
        <v>45725</v>
      </c>
      <c r="B11" t="s">
        <v>40</v>
      </c>
      <c r="C11" t="s">
        <v>41</v>
      </c>
      <c r="D11" t="s">
        <v>39</v>
      </c>
      <c r="E11" t="s">
        <v>16</v>
      </c>
      <c r="F11" t="s">
        <v>13</v>
      </c>
      <c r="G11">
        <v>28</v>
      </c>
      <c r="H11">
        <v>1800</v>
      </c>
      <c r="I11">
        <v>15</v>
      </c>
      <c r="J11">
        <f>Table1[[#This Row],[price_per_unit]]*Table1[[#This Row],[quantity]]</f>
        <v>50400</v>
      </c>
      <c r="K11">
        <f>Table1[[#This Row],[Total Sales]]*Table1[[#This Row],[discount_in_percentage]]/100</f>
        <v>7560</v>
      </c>
      <c r="L11">
        <f>Table1[[#This Row],[Total Sales]]-Table1[[#This Row],[Discount amount]]</f>
        <v>42840</v>
      </c>
      <c r="M11" s="2" t="str">
        <f>TEXT(Table1[[#This Row],[date]],"mmmm")</f>
        <v>March</v>
      </c>
    </row>
    <row r="12" spans="1:13" x14ac:dyDescent="0.3">
      <c r="A12" s="1">
        <v>45732</v>
      </c>
      <c r="B12" t="s">
        <v>42</v>
      </c>
      <c r="C12" t="s">
        <v>10</v>
      </c>
      <c r="D12" t="s">
        <v>11</v>
      </c>
      <c r="E12" t="s">
        <v>43</v>
      </c>
      <c r="F12" t="s">
        <v>44</v>
      </c>
      <c r="G12">
        <v>10</v>
      </c>
      <c r="H12">
        <v>62000</v>
      </c>
      <c r="I12">
        <v>9</v>
      </c>
      <c r="J12">
        <f>Table1[[#This Row],[price_per_unit]]*Table1[[#This Row],[quantity]]</f>
        <v>620000</v>
      </c>
      <c r="K12">
        <f>Table1[[#This Row],[Total Sales]]*Table1[[#This Row],[discount_in_percentage]]/100</f>
        <v>55800</v>
      </c>
      <c r="L12">
        <f>Table1[[#This Row],[Total Sales]]-Table1[[#This Row],[Discount amount]]</f>
        <v>564200</v>
      </c>
      <c r="M12" s="2" t="str">
        <f>TEXT(Table1[[#This Row],[date]],"mmmm")</f>
        <v>March</v>
      </c>
    </row>
    <row r="13" spans="1:13" x14ac:dyDescent="0.3">
      <c r="A13" s="1">
        <v>45739</v>
      </c>
      <c r="B13" t="s">
        <v>45</v>
      </c>
      <c r="C13" t="s">
        <v>46</v>
      </c>
      <c r="D13" t="s">
        <v>11</v>
      </c>
      <c r="E13" t="s">
        <v>47</v>
      </c>
      <c r="F13" t="s">
        <v>44</v>
      </c>
      <c r="G13">
        <v>16</v>
      </c>
      <c r="H13">
        <v>24000</v>
      </c>
      <c r="I13">
        <v>10</v>
      </c>
      <c r="J13">
        <f>Table1[[#This Row],[price_per_unit]]*Table1[[#This Row],[quantity]]</f>
        <v>384000</v>
      </c>
      <c r="K13">
        <f>Table1[[#This Row],[Total Sales]]*Table1[[#This Row],[discount_in_percentage]]/100</f>
        <v>38400</v>
      </c>
      <c r="L13">
        <f>Table1[[#This Row],[Total Sales]]-Table1[[#This Row],[Discount amount]]</f>
        <v>345600</v>
      </c>
      <c r="M13" s="2" t="str">
        <f>TEXT(Table1[[#This Row],[date]],"mmmm")</f>
        <v>March</v>
      </c>
    </row>
    <row r="14" spans="1:13" x14ac:dyDescent="0.3">
      <c r="A14" s="1">
        <v>45746</v>
      </c>
      <c r="B14" t="s">
        <v>48</v>
      </c>
      <c r="C14" t="s">
        <v>49</v>
      </c>
      <c r="D14" t="s">
        <v>19</v>
      </c>
      <c r="E14" t="s">
        <v>50</v>
      </c>
      <c r="F14" t="s">
        <v>44</v>
      </c>
      <c r="G14">
        <v>5</v>
      </c>
      <c r="H14">
        <v>28000</v>
      </c>
      <c r="I14">
        <v>12</v>
      </c>
      <c r="J14">
        <f>Table1[[#This Row],[price_per_unit]]*Table1[[#This Row],[quantity]]</f>
        <v>140000</v>
      </c>
      <c r="K14">
        <f>Table1[[#This Row],[Total Sales]]*Table1[[#This Row],[discount_in_percentage]]/100</f>
        <v>16800</v>
      </c>
      <c r="L14">
        <f>Table1[[#This Row],[Total Sales]]-Table1[[#This Row],[Discount amount]]</f>
        <v>123200</v>
      </c>
      <c r="M14" s="2" t="str">
        <f>TEXT(Table1[[#This Row],[date]],"mmmm")</f>
        <v>March</v>
      </c>
    </row>
    <row r="15" spans="1:13" x14ac:dyDescent="0.3">
      <c r="A15" s="1">
        <v>45753</v>
      </c>
      <c r="B15" t="s">
        <v>51</v>
      </c>
      <c r="C15" t="s">
        <v>52</v>
      </c>
      <c r="D15" t="s">
        <v>19</v>
      </c>
      <c r="E15" t="s">
        <v>53</v>
      </c>
      <c r="F15" t="s">
        <v>44</v>
      </c>
      <c r="G15">
        <v>15</v>
      </c>
      <c r="H15">
        <v>7000</v>
      </c>
      <c r="I15">
        <v>8</v>
      </c>
      <c r="J15">
        <f>Table1[[#This Row],[price_per_unit]]*Table1[[#This Row],[quantity]]</f>
        <v>105000</v>
      </c>
      <c r="K15">
        <f>Table1[[#This Row],[Total Sales]]*Table1[[#This Row],[discount_in_percentage]]/100</f>
        <v>8400</v>
      </c>
      <c r="L15">
        <f>Table1[[#This Row],[Total Sales]]-Table1[[#This Row],[Discount amount]]</f>
        <v>96600</v>
      </c>
      <c r="M15" s="2" t="str">
        <f>TEXT(Table1[[#This Row],[date]],"mmmm")</f>
        <v>April</v>
      </c>
    </row>
    <row r="16" spans="1:13" x14ac:dyDescent="0.3">
      <c r="A16" s="1">
        <v>45760</v>
      </c>
      <c r="B16" t="s">
        <v>54</v>
      </c>
      <c r="C16" t="s">
        <v>55</v>
      </c>
      <c r="D16" t="s">
        <v>29</v>
      </c>
      <c r="E16" t="s">
        <v>56</v>
      </c>
      <c r="F16" t="s">
        <v>44</v>
      </c>
      <c r="G16">
        <v>7</v>
      </c>
      <c r="H16">
        <v>26000</v>
      </c>
      <c r="I16">
        <v>10</v>
      </c>
      <c r="J16">
        <f>Table1[[#This Row],[price_per_unit]]*Table1[[#This Row],[quantity]]</f>
        <v>182000</v>
      </c>
      <c r="K16">
        <f>Table1[[#This Row],[Total Sales]]*Table1[[#This Row],[discount_in_percentage]]/100</f>
        <v>18200</v>
      </c>
      <c r="L16">
        <f>Table1[[#This Row],[Total Sales]]-Table1[[#This Row],[Discount amount]]</f>
        <v>163800</v>
      </c>
      <c r="M16" s="2" t="str">
        <f>TEXT(Table1[[#This Row],[date]],"mmmm")</f>
        <v>April</v>
      </c>
    </row>
    <row r="17" spans="1:13" x14ac:dyDescent="0.3">
      <c r="A17" s="1">
        <v>45767</v>
      </c>
      <c r="B17" t="s">
        <v>57</v>
      </c>
      <c r="C17" t="s">
        <v>58</v>
      </c>
      <c r="D17" t="s">
        <v>29</v>
      </c>
      <c r="E17" t="s">
        <v>59</v>
      </c>
      <c r="F17" t="s">
        <v>44</v>
      </c>
      <c r="G17">
        <v>9</v>
      </c>
      <c r="H17">
        <v>33000</v>
      </c>
      <c r="I17">
        <v>11</v>
      </c>
      <c r="J17">
        <f>Table1[[#This Row],[price_per_unit]]*Table1[[#This Row],[quantity]]</f>
        <v>297000</v>
      </c>
      <c r="K17">
        <f>Table1[[#This Row],[Total Sales]]*Table1[[#This Row],[discount_in_percentage]]/100</f>
        <v>32670</v>
      </c>
      <c r="L17">
        <f>Table1[[#This Row],[Total Sales]]-Table1[[#This Row],[Discount amount]]</f>
        <v>264330</v>
      </c>
      <c r="M17" s="2" t="str">
        <f>TEXT(Table1[[#This Row],[date]],"mmmm")</f>
        <v>April</v>
      </c>
    </row>
    <row r="18" spans="1:13" x14ac:dyDescent="0.3">
      <c r="A18" s="1">
        <v>45774</v>
      </c>
      <c r="B18" t="s">
        <v>60</v>
      </c>
      <c r="C18" t="s">
        <v>61</v>
      </c>
      <c r="D18" t="s">
        <v>11</v>
      </c>
      <c r="E18" t="s">
        <v>62</v>
      </c>
      <c r="F18" t="s">
        <v>44</v>
      </c>
      <c r="G18">
        <v>40</v>
      </c>
      <c r="H18">
        <v>2500</v>
      </c>
      <c r="I18">
        <v>18</v>
      </c>
      <c r="J18">
        <f>Table1[[#This Row],[price_per_unit]]*Table1[[#This Row],[quantity]]</f>
        <v>100000</v>
      </c>
      <c r="K18">
        <f>Table1[[#This Row],[Total Sales]]*Table1[[#This Row],[discount_in_percentage]]/100</f>
        <v>18000</v>
      </c>
      <c r="L18">
        <f>Table1[[#This Row],[Total Sales]]-Table1[[#This Row],[Discount amount]]</f>
        <v>82000</v>
      </c>
      <c r="M18" s="2" t="str">
        <f>TEXT(Table1[[#This Row],[date]],"mmmm")</f>
        <v>April</v>
      </c>
    </row>
    <row r="19" spans="1:13" x14ac:dyDescent="0.3">
      <c r="A19" s="1">
        <v>45781</v>
      </c>
      <c r="B19" t="s">
        <v>63</v>
      </c>
      <c r="C19" t="s">
        <v>64</v>
      </c>
      <c r="D19" t="s">
        <v>11</v>
      </c>
      <c r="E19" t="s">
        <v>65</v>
      </c>
      <c r="F19" t="s">
        <v>44</v>
      </c>
      <c r="G19">
        <v>22</v>
      </c>
      <c r="H19">
        <v>9000</v>
      </c>
      <c r="I19">
        <v>15</v>
      </c>
      <c r="J19">
        <f>Table1[[#This Row],[price_per_unit]]*Table1[[#This Row],[quantity]]</f>
        <v>198000</v>
      </c>
      <c r="K19">
        <f>Table1[[#This Row],[Total Sales]]*Table1[[#This Row],[discount_in_percentage]]/100</f>
        <v>29700</v>
      </c>
      <c r="L19">
        <f>Table1[[#This Row],[Total Sales]]-Table1[[#This Row],[Discount amount]]</f>
        <v>168300</v>
      </c>
      <c r="M19" s="2" t="str">
        <f>TEXT(Table1[[#This Row],[date]],"mmmm")</f>
        <v>May</v>
      </c>
    </row>
    <row r="20" spans="1:13" x14ac:dyDescent="0.3">
      <c r="A20" s="1">
        <v>45788</v>
      </c>
      <c r="B20" t="s">
        <v>66</v>
      </c>
      <c r="C20" t="s">
        <v>67</v>
      </c>
      <c r="D20" t="s">
        <v>39</v>
      </c>
      <c r="E20" t="s">
        <v>43</v>
      </c>
      <c r="F20" t="s">
        <v>44</v>
      </c>
      <c r="G20">
        <v>50</v>
      </c>
      <c r="H20">
        <v>800</v>
      </c>
      <c r="I20">
        <v>25</v>
      </c>
      <c r="J20">
        <f>Table1[[#This Row],[price_per_unit]]*Table1[[#This Row],[quantity]]</f>
        <v>40000</v>
      </c>
      <c r="K20">
        <f>Table1[[#This Row],[Total Sales]]*Table1[[#This Row],[discount_in_percentage]]/100</f>
        <v>10000</v>
      </c>
      <c r="L20">
        <f>Table1[[#This Row],[Total Sales]]-Table1[[#This Row],[Discount amount]]</f>
        <v>30000</v>
      </c>
      <c r="M20" s="2" t="str">
        <f>TEXT(Table1[[#This Row],[date]],"mmmm")</f>
        <v>May</v>
      </c>
    </row>
    <row r="21" spans="1:13" x14ac:dyDescent="0.3">
      <c r="A21" s="1">
        <v>45795</v>
      </c>
      <c r="B21" t="s">
        <v>68</v>
      </c>
      <c r="C21" t="s">
        <v>69</v>
      </c>
      <c r="D21" t="s">
        <v>39</v>
      </c>
      <c r="E21" t="s">
        <v>47</v>
      </c>
      <c r="F21" t="s">
        <v>44</v>
      </c>
      <c r="G21">
        <v>30</v>
      </c>
      <c r="H21">
        <v>1800</v>
      </c>
      <c r="I21">
        <v>20</v>
      </c>
      <c r="J21">
        <f>Table1[[#This Row],[price_per_unit]]*Table1[[#This Row],[quantity]]</f>
        <v>54000</v>
      </c>
      <c r="K21">
        <f>Table1[[#This Row],[Total Sales]]*Table1[[#This Row],[discount_in_percentage]]/100</f>
        <v>10800</v>
      </c>
      <c r="L21">
        <f>Table1[[#This Row],[Total Sales]]-Table1[[#This Row],[Discount amount]]</f>
        <v>43200</v>
      </c>
      <c r="M21" s="2" t="str">
        <f>TEXT(Table1[[#This Row],[date]],"mmmm")</f>
        <v>May</v>
      </c>
    </row>
    <row r="22" spans="1:13" x14ac:dyDescent="0.3">
      <c r="A22" s="1">
        <v>45802</v>
      </c>
      <c r="B22" t="s">
        <v>70</v>
      </c>
      <c r="C22" t="s">
        <v>10</v>
      </c>
      <c r="D22" t="s">
        <v>11</v>
      </c>
      <c r="E22" t="s">
        <v>71</v>
      </c>
      <c r="F22" t="s">
        <v>72</v>
      </c>
      <c r="G22">
        <v>11</v>
      </c>
      <c r="H22">
        <v>64000</v>
      </c>
      <c r="I22">
        <v>8</v>
      </c>
      <c r="J22">
        <f>Table1[[#This Row],[price_per_unit]]*Table1[[#This Row],[quantity]]</f>
        <v>704000</v>
      </c>
      <c r="K22">
        <f>Table1[[#This Row],[Total Sales]]*Table1[[#This Row],[discount_in_percentage]]/100</f>
        <v>56320</v>
      </c>
      <c r="L22">
        <f>Table1[[#This Row],[Total Sales]]-Table1[[#This Row],[Discount amount]]</f>
        <v>647680</v>
      </c>
      <c r="M22" s="2" t="str">
        <f>TEXT(Table1[[#This Row],[date]],"mmmm")</f>
        <v>May</v>
      </c>
    </row>
    <row r="23" spans="1:13" x14ac:dyDescent="0.3">
      <c r="A23" s="1">
        <v>45809</v>
      </c>
      <c r="B23" t="s">
        <v>73</v>
      </c>
      <c r="C23" t="s">
        <v>74</v>
      </c>
      <c r="D23" t="s">
        <v>11</v>
      </c>
      <c r="E23" t="s">
        <v>75</v>
      </c>
      <c r="F23" t="s">
        <v>72</v>
      </c>
      <c r="G23">
        <v>32</v>
      </c>
      <c r="H23">
        <v>1200</v>
      </c>
      <c r="I23">
        <v>15</v>
      </c>
      <c r="J23">
        <f>Table1[[#This Row],[price_per_unit]]*Table1[[#This Row],[quantity]]</f>
        <v>38400</v>
      </c>
      <c r="K23">
        <f>Table1[[#This Row],[Total Sales]]*Table1[[#This Row],[discount_in_percentage]]/100</f>
        <v>5760</v>
      </c>
      <c r="L23">
        <f>Table1[[#This Row],[Total Sales]]-Table1[[#This Row],[Discount amount]]</f>
        <v>32640</v>
      </c>
      <c r="M23" s="2" t="str">
        <f>TEXT(Table1[[#This Row],[date]],"mmmm")</f>
        <v>June</v>
      </c>
    </row>
    <row r="24" spans="1:13" x14ac:dyDescent="0.3">
      <c r="A24" s="1">
        <v>45816</v>
      </c>
      <c r="B24" t="s">
        <v>76</v>
      </c>
      <c r="C24" t="s">
        <v>77</v>
      </c>
      <c r="D24" t="s">
        <v>11</v>
      </c>
      <c r="E24" t="s">
        <v>78</v>
      </c>
      <c r="F24" t="s">
        <v>72</v>
      </c>
      <c r="G24">
        <v>40</v>
      </c>
      <c r="H24">
        <v>800</v>
      </c>
      <c r="I24">
        <v>18</v>
      </c>
      <c r="J24">
        <f>Table1[[#This Row],[price_per_unit]]*Table1[[#This Row],[quantity]]</f>
        <v>32000</v>
      </c>
      <c r="K24">
        <f>Table1[[#This Row],[Total Sales]]*Table1[[#This Row],[discount_in_percentage]]/100</f>
        <v>5760</v>
      </c>
      <c r="L24">
        <f>Table1[[#This Row],[Total Sales]]-Table1[[#This Row],[Discount amount]]</f>
        <v>26240</v>
      </c>
      <c r="M24" s="2" t="str">
        <f>TEXT(Table1[[#This Row],[date]],"mmmm")</f>
        <v>June</v>
      </c>
    </row>
    <row r="25" spans="1:13" x14ac:dyDescent="0.3">
      <c r="A25" s="1">
        <v>45823</v>
      </c>
      <c r="B25" t="s">
        <v>79</v>
      </c>
      <c r="C25" t="s">
        <v>80</v>
      </c>
      <c r="D25" t="s">
        <v>19</v>
      </c>
      <c r="E25" t="s">
        <v>81</v>
      </c>
      <c r="F25" t="s">
        <v>72</v>
      </c>
      <c r="G25">
        <v>10</v>
      </c>
      <c r="H25">
        <v>9500</v>
      </c>
      <c r="I25">
        <v>10</v>
      </c>
      <c r="J25">
        <f>Table1[[#This Row],[price_per_unit]]*Table1[[#This Row],[quantity]]</f>
        <v>95000</v>
      </c>
      <c r="K25">
        <f>Table1[[#This Row],[Total Sales]]*Table1[[#This Row],[discount_in_percentage]]/100</f>
        <v>9500</v>
      </c>
      <c r="L25">
        <f>Table1[[#This Row],[Total Sales]]-Table1[[#This Row],[Discount amount]]</f>
        <v>85500</v>
      </c>
      <c r="M25" s="2" t="str">
        <f>TEXT(Table1[[#This Row],[date]],"mmmm")</f>
        <v>June</v>
      </c>
    </row>
    <row r="26" spans="1:13" x14ac:dyDescent="0.3">
      <c r="A26" s="1">
        <v>45830</v>
      </c>
      <c r="B26" t="s">
        <v>82</v>
      </c>
      <c r="C26" t="s">
        <v>83</v>
      </c>
      <c r="D26" t="s">
        <v>19</v>
      </c>
      <c r="E26" t="s">
        <v>84</v>
      </c>
      <c r="F26" t="s">
        <v>72</v>
      </c>
      <c r="G26">
        <v>13</v>
      </c>
      <c r="H26">
        <v>6500</v>
      </c>
      <c r="I26">
        <v>12</v>
      </c>
      <c r="J26">
        <f>Table1[[#This Row],[price_per_unit]]*Table1[[#This Row],[quantity]]</f>
        <v>84500</v>
      </c>
      <c r="K26">
        <f>Table1[[#This Row],[Total Sales]]*Table1[[#This Row],[discount_in_percentage]]/100</f>
        <v>10140</v>
      </c>
      <c r="L26">
        <f>Table1[[#This Row],[Total Sales]]-Table1[[#This Row],[Discount amount]]</f>
        <v>74360</v>
      </c>
      <c r="M26" s="2" t="str">
        <f>TEXT(Table1[[#This Row],[date]],"mmmm")</f>
        <v>June</v>
      </c>
    </row>
    <row r="27" spans="1:13" x14ac:dyDescent="0.3">
      <c r="A27" s="1">
        <v>45837</v>
      </c>
      <c r="B27" t="s">
        <v>85</v>
      </c>
      <c r="C27" t="s">
        <v>86</v>
      </c>
      <c r="D27" t="s">
        <v>29</v>
      </c>
      <c r="E27" t="s">
        <v>87</v>
      </c>
      <c r="F27" t="s">
        <v>72</v>
      </c>
      <c r="G27">
        <v>18</v>
      </c>
      <c r="H27">
        <v>2800</v>
      </c>
      <c r="I27">
        <v>10</v>
      </c>
      <c r="J27">
        <f>Table1[[#This Row],[price_per_unit]]*Table1[[#This Row],[quantity]]</f>
        <v>50400</v>
      </c>
      <c r="K27">
        <f>Table1[[#This Row],[Total Sales]]*Table1[[#This Row],[discount_in_percentage]]/100</f>
        <v>5040</v>
      </c>
      <c r="L27">
        <f>Table1[[#This Row],[Total Sales]]-Table1[[#This Row],[Discount amount]]</f>
        <v>45360</v>
      </c>
      <c r="M27" s="2" t="str">
        <f>TEXT(Table1[[#This Row],[date]],"mmmm")</f>
        <v>June</v>
      </c>
    </row>
    <row r="28" spans="1:13" x14ac:dyDescent="0.3">
      <c r="A28" s="1">
        <v>45844</v>
      </c>
      <c r="B28" t="s">
        <v>88</v>
      </c>
      <c r="C28" t="s">
        <v>89</v>
      </c>
      <c r="D28" t="s">
        <v>29</v>
      </c>
      <c r="E28" t="s">
        <v>90</v>
      </c>
      <c r="F28" t="s">
        <v>72</v>
      </c>
      <c r="G28">
        <v>12</v>
      </c>
      <c r="H28">
        <v>8500</v>
      </c>
      <c r="I28">
        <v>15</v>
      </c>
      <c r="J28">
        <f>Table1[[#This Row],[price_per_unit]]*Table1[[#This Row],[quantity]]</f>
        <v>102000</v>
      </c>
      <c r="K28">
        <f>Table1[[#This Row],[Total Sales]]*Table1[[#This Row],[discount_in_percentage]]/100</f>
        <v>15300</v>
      </c>
      <c r="L28">
        <f>Table1[[#This Row],[Total Sales]]-Table1[[#This Row],[Discount amount]]</f>
        <v>86700</v>
      </c>
      <c r="M28" s="2" t="str">
        <f>TEXT(Table1[[#This Row],[date]],"mmmm")</f>
        <v>July</v>
      </c>
    </row>
    <row r="29" spans="1:13" x14ac:dyDescent="0.3">
      <c r="A29" s="1">
        <v>45851</v>
      </c>
      <c r="B29" t="s">
        <v>91</v>
      </c>
      <c r="C29" t="s">
        <v>92</v>
      </c>
      <c r="D29" t="s">
        <v>11</v>
      </c>
      <c r="E29" t="s">
        <v>93</v>
      </c>
      <c r="F29" t="s">
        <v>72</v>
      </c>
      <c r="G29">
        <v>8</v>
      </c>
      <c r="H29">
        <v>38000</v>
      </c>
      <c r="I29">
        <v>7</v>
      </c>
      <c r="J29">
        <f>Table1[[#This Row],[price_per_unit]]*Table1[[#This Row],[quantity]]</f>
        <v>304000</v>
      </c>
      <c r="K29">
        <f>Table1[[#This Row],[Total Sales]]*Table1[[#This Row],[discount_in_percentage]]/100</f>
        <v>21280</v>
      </c>
      <c r="L29">
        <f>Table1[[#This Row],[Total Sales]]-Table1[[#This Row],[Discount amount]]</f>
        <v>282720</v>
      </c>
      <c r="M29" s="2" t="str">
        <f>TEXT(Table1[[#This Row],[date]],"mmmm")</f>
        <v>July</v>
      </c>
    </row>
    <row r="30" spans="1:13" x14ac:dyDescent="0.3">
      <c r="A30" s="1">
        <v>45858</v>
      </c>
      <c r="B30" t="s">
        <v>94</v>
      </c>
      <c r="C30" t="s">
        <v>95</v>
      </c>
      <c r="D30" t="s">
        <v>39</v>
      </c>
      <c r="E30" t="s">
        <v>71</v>
      </c>
      <c r="F30" t="s">
        <v>72</v>
      </c>
      <c r="G30">
        <v>24</v>
      </c>
      <c r="H30">
        <v>3200</v>
      </c>
      <c r="I30">
        <v>20</v>
      </c>
      <c r="J30">
        <f>Table1[[#This Row],[price_per_unit]]*Table1[[#This Row],[quantity]]</f>
        <v>76800</v>
      </c>
      <c r="K30">
        <f>Table1[[#This Row],[Total Sales]]*Table1[[#This Row],[discount_in_percentage]]/100</f>
        <v>15360</v>
      </c>
      <c r="L30">
        <f>Table1[[#This Row],[Total Sales]]-Table1[[#This Row],[Discount amount]]</f>
        <v>61440</v>
      </c>
      <c r="M30" s="2" t="str">
        <f>TEXT(Table1[[#This Row],[date]],"mmmm")</f>
        <v>July</v>
      </c>
    </row>
    <row r="31" spans="1:13" x14ac:dyDescent="0.3">
      <c r="A31" s="1">
        <v>45865</v>
      </c>
      <c r="B31" t="s">
        <v>96</v>
      </c>
      <c r="C31" t="s">
        <v>97</v>
      </c>
      <c r="D31" t="s">
        <v>39</v>
      </c>
      <c r="E31" t="s">
        <v>78</v>
      </c>
      <c r="F31" t="s">
        <v>72</v>
      </c>
      <c r="G31">
        <v>30</v>
      </c>
      <c r="H31">
        <v>1500</v>
      </c>
      <c r="I31">
        <v>18</v>
      </c>
      <c r="J31">
        <f>Table1[[#This Row],[price_per_unit]]*Table1[[#This Row],[quantity]]</f>
        <v>45000</v>
      </c>
      <c r="K31">
        <f>Table1[[#This Row],[Total Sales]]*Table1[[#This Row],[discount_in_percentage]]/100</f>
        <v>8100</v>
      </c>
      <c r="L31">
        <f>Table1[[#This Row],[Total Sales]]-Table1[[#This Row],[Discount amount]]</f>
        <v>36900</v>
      </c>
      <c r="M31" s="2" t="str">
        <f>TEXT(Table1[[#This Row],[date]],"mmmm")</f>
        <v>July</v>
      </c>
    </row>
    <row r="32" spans="1:13" x14ac:dyDescent="0.3">
      <c r="A32" s="1">
        <v>45872</v>
      </c>
      <c r="B32" t="s">
        <v>98</v>
      </c>
      <c r="C32" t="s">
        <v>10</v>
      </c>
      <c r="D32" t="s">
        <v>11</v>
      </c>
      <c r="E32" t="s">
        <v>99</v>
      </c>
      <c r="F32" t="s">
        <v>100</v>
      </c>
      <c r="G32">
        <v>14</v>
      </c>
      <c r="H32">
        <v>67000</v>
      </c>
      <c r="I32">
        <v>10</v>
      </c>
      <c r="J32">
        <f>Table1[[#This Row],[price_per_unit]]*Table1[[#This Row],[quantity]]</f>
        <v>938000</v>
      </c>
      <c r="K32">
        <f>Table1[[#This Row],[Total Sales]]*Table1[[#This Row],[discount_in_percentage]]/100</f>
        <v>93800</v>
      </c>
      <c r="L32">
        <f>Table1[[#This Row],[Total Sales]]-Table1[[#This Row],[Discount amount]]</f>
        <v>844200</v>
      </c>
      <c r="M32" s="2" t="str">
        <f>TEXT(Table1[[#This Row],[date]],"mmmm")</f>
        <v>August</v>
      </c>
    </row>
    <row r="33" spans="1:13" x14ac:dyDescent="0.3">
      <c r="A33" s="1">
        <v>45879</v>
      </c>
      <c r="B33" t="s">
        <v>101</v>
      </c>
      <c r="C33" t="s">
        <v>15</v>
      </c>
      <c r="D33" t="s">
        <v>11</v>
      </c>
      <c r="E33" t="s">
        <v>102</v>
      </c>
      <c r="F33" t="s">
        <v>100</v>
      </c>
      <c r="G33">
        <v>26</v>
      </c>
      <c r="H33">
        <v>30000</v>
      </c>
      <c r="I33">
        <v>9</v>
      </c>
      <c r="J33">
        <f>Table1[[#This Row],[price_per_unit]]*Table1[[#This Row],[quantity]]</f>
        <v>780000</v>
      </c>
      <c r="K33">
        <f>Table1[[#This Row],[Total Sales]]*Table1[[#This Row],[discount_in_percentage]]/100</f>
        <v>70200</v>
      </c>
      <c r="L33">
        <f>Table1[[#This Row],[Total Sales]]-Table1[[#This Row],[Discount amount]]</f>
        <v>709800</v>
      </c>
      <c r="M33" s="2" t="str">
        <f>TEXT(Table1[[#This Row],[date]],"mmmm")</f>
        <v>August</v>
      </c>
    </row>
    <row r="34" spans="1:13" x14ac:dyDescent="0.3">
      <c r="A34" s="1">
        <v>45886</v>
      </c>
      <c r="B34" t="s">
        <v>103</v>
      </c>
      <c r="C34" t="s">
        <v>104</v>
      </c>
      <c r="D34" t="s">
        <v>19</v>
      </c>
      <c r="E34" t="s">
        <v>105</v>
      </c>
      <c r="F34" t="s">
        <v>100</v>
      </c>
      <c r="G34">
        <v>20</v>
      </c>
      <c r="H34">
        <v>4200</v>
      </c>
      <c r="I34">
        <v>14</v>
      </c>
      <c r="J34">
        <f>Table1[[#This Row],[price_per_unit]]*Table1[[#This Row],[quantity]]</f>
        <v>84000</v>
      </c>
      <c r="K34">
        <f>Table1[[#This Row],[Total Sales]]*Table1[[#This Row],[discount_in_percentage]]/100</f>
        <v>11760</v>
      </c>
      <c r="L34">
        <f>Table1[[#This Row],[Total Sales]]-Table1[[#This Row],[Discount amount]]</f>
        <v>72240</v>
      </c>
      <c r="M34" s="2" t="str">
        <f>TEXT(Table1[[#This Row],[date]],"mmmm")</f>
        <v>August</v>
      </c>
    </row>
    <row r="35" spans="1:13" x14ac:dyDescent="0.3">
      <c r="A35" s="1">
        <v>45893</v>
      </c>
      <c r="B35" t="s">
        <v>106</v>
      </c>
      <c r="C35" t="s">
        <v>107</v>
      </c>
      <c r="D35" t="s">
        <v>19</v>
      </c>
      <c r="E35" t="s">
        <v>108</v>
      </c>
      <c r="F35" t="s">
        <v>100</v>
      </c>
      <c r="G35">
        <v>11</v>
      </c>
      <c r="H35">
        <v>7800</v>
      </c>
      <c r="I35">
        <v>10</v>
      </c>
      <c r="J35">
        <f>Table1[[#This Row],[price_per_unit]]*Table1[[#This Row],[quantity]]</f>
        <v>85800</v>
      </c>
      <c r="K35">
        <f>Table1[[#This Row],[Total Sales]]*Table1[[#This Row],[discount_in_percentage]]/100</f>
        <v>8580</v>
      </c>
      <c r="L35">
        <f>Table1[[#This Row],[Total Sales]]-Table1[[#This Row],[Discount amount]]</f>
        <v>77220</v>
      </c>
      <c r="M35" s="2" t="str">
        <f>TEXT(Table1[[#This Row],[date]],"mmmm")</f>
        <v>August</v>
      </c>
    </row>
    <row r="36" spans="1:13" x14ac:dyDescent="0.3">
      <c r="A36" s="1">
        <v>45900</v>
      </c>
      <c r="B36" t="s">
        <v>109</v>
      </c>
      <c r="C36" t="s">
        <v>110</v>
      </c>
      <c r="D36" t="s">
        <v>29</v>
      </c>
      <c r="E36" t="s">
        <v>111</v>
      </c>
      <c r="F36" t="s">
        <v>100</v>
      </c>
      <c r="G36">
        <v>15</v>
      </c>
      <c r="H36">
        <v>3500</v>
      </c>
      <c r="I36">
        <v>12</v>
      </c>
      <c r="J36">
        <f>Table1[[#This Row],[price_per_unit]]*Table1[[#This Row],[quantity]]</f>
        <v>52500</v>
      </c>
      <c r="K36">
        <f>Table1[[#This Row],[Total Sales]]*Table1[[#This Row],[discount_in_percentage]]/100</f>
        <v>6300</v>
      </c>
      <c r="L36">
        <f>Table1[[#This Row],[Total Sales]]-Table1[[#This Row],[Discount amount]]</f>
        <v>46200</v>
      </c>
      <c r="M36" s="2" t="str">
        <f>TEXT(Table1[[#This Row],[date]],"mmmm")</f>
        <v>August</v>
      </c>
    </row>
    <row r="37" spans="1:13" x14ac:dyDescent="0.3">
      <c r="A37" s="1">
        <v>45907</v>
      </c>
      <c r="B37" t="s">
        <v>112</v>
      </c>
      <c r="C37" t="s">
        <v>113</v>
      </c>
      <c r="D37" t="s">
        <v>29</v>
      </c>
      <c r="E37" t="s">
        <v>114</v>
      </c>
      <c r="F37" t="s">
        <v>100</v>
      </c>
      <c r="G37">
        <v>9</v>
      </c>
      <c r="H37">
        <v>14500</v>
      </c>
      <c r="I37">
        <v>10</v>
      </c>
      <c r="J37">
        <f>Table1[[#This Row],[price_per_unit]]*Table1[[#This Row],[quantity]]</f>
        <v>130500</v>
      </c>
      <c r="K37">
        <f>Table1[[#This Row],[Total Sales]]*Table1[[#This Row],[discount_in_percentage]]/100</f>
        <v>13050</v>
      </c>
      <c r="L37">
        <f>Table1[[#This Row],[Total Sales]]-Table1[[#This Row],[Discount amount]]</f>
        <v>117450</v>
      </c>
      <c r="M37" s="2" t="str">
        <f>TEXT(Table1[[#This Row],[date]],"mmmm")</f>
        <v>September</v>
      </c>
    </row>
    <row r="38" spans="1:13" x14ac:dyDescent="0.3">
      <c r="A38" s="1">
        <v>45914</v>
      </c>
      <c r="B38" t="s">
        <v>115</v>
      </c>
      <c r="C38" t="s">
        <v>116</v>
      </c>
      <c r="D38" t="s">
        <v>29</v>
      </c>
      <c r="E38" t="s">
        <v>117</v>
      </c>
      <c r="F38" t="s">
        <v>100</v>
      </c>
      <c r="G38">
        <v>7</v>
      </c>
      <c r="H38">
        <v>12000</v>
      </c>
      <c r="I38">
        <v>15</v>
      </c>
      <c r="J38">
        <f>Table1[[#This Row],[price_per_unit]]*Table1[[#This Row],[quantity]]</f>
        <v>84000</v>
      </c>
      <c r="K38">
        <f>Table1[[#This Row],[Total Sales]]*Table1[[#This Row],[discount_in_percentage]]/100</f>
        <v>12600</v>
      </c>
      <c r="L38">
        <f>Table1[[#This Row],[Total Sales]]-Table1[[#This Row],[Discount amount]]</f>
        <v>71400</v>
      </c>
      <c r="M38" s="2" t="str">
        <f>TEXT(Table1[[#This Row],[date]],"mmmm")</f>
        <v>September</v>
      </c>
    </row>
    <row r="39" spans="1:13" x14ac:dyDescent="0.3">
      <c r="A39" s="1">
        <v>45921</v>
      </c>
      <c r="B39" t="s">
        <v>118</v>
      </c>
      <c r="C39" t="s">
        <v>119</v>
      </c>
      <c r="D39" t="s">
        <v>11</v>
      </c>
      <c r="E39" t="s">
        <v>120</v>
      </c>
      <c r="F39" t="s">
        <v>100</v>
      </c>
      <c r="G39">
        <v>28</v>
      </c>
      <c r="H39">
        <v>4500</v>
      </c>
      <c r="I39">
        <v>18</v>
      </c>
      <c r="J39">
        <f>Table1[[#This Row],[price_per_unit]]*Table1[[#This Row],[quantity]]</f>
        <v>126000</v>
      </c>
      <c r="K39">
        <f>Table1[[#This Row],[Total Sales]]*Table1[[#This Row],[discount_in_percentage]]/100</f>
        <v>22680</v>
      </c>
      <c r="L39">
        <f>Table1[[#This Row],[Total Sales]]-Table1[[#This Row],[Discount amount]]</f>
        <v>103320</v>
      </c>
      <c r="M39" s="2" t="str">
        <f>TEXT(Table1[[#This Row],[date]],"mmmm")</f>
        <v>September</v>
      </c>
    </row>
    <row r="40" spans="1:13" x14ac:dyDescent="0.3">
      <c r="A40" s="1">
        <v>45928</v>
      </c>
      <c r="B40" t="s">
        <v>121</v>
      </c>
      <c r="C40" t="s">
        <v>122</v>
      </c>
      <c r="D40" t="s">
        <v>39</v>
      </c>
      <c r="E40" t="s">
        <v>99</v>
      </c>
      <c r="F40" t="s">
        <v>100</v>
      </c>
      <c r="G40">
        <v>34</v>
      </c>
      <c r="H40">
        <v>2200</v>
      </c>
      <c r="I40">
        <v>20</v>
      </c>
      <c r="J40">
        <f>Table1[[#This Row],[price_per_unit]]*Table1[[#This Row],[quantity]]</f>
        <v>74800</v>
      </c>
      <c r="K40">
        <f>Table1[[#This Row],[Total Sales]]*Table1[[#This Row],[discount_in_percentage]]/100</f>
        <v>14960</v>
      </c>
      <c r="L40">
        <f>Table1[[#This Row],[Total Sales]]-Table1[[#This Row],[Discount amount]]</f>
        <v>59840</v>
      </c>
      <c r="M40" s="2" t="str">
        <f>TEXT(Table1[[#This Row],[date]],"mmmm")</f>
        <v>September</v>
      </c>
    </row>
    <row r="41" spans="1:13" x14ac:dyDescent="0.3">
      <c r="A41" s="1">
        <v>45935</v>
      </c>
      <c r="B41" t="s">
        <v>123</v>
      </c>
      <c r="C41" t="s">
        <v>124</v>
      </c>
      <c r="D41" t="s">
        <v>39</v>
      </c>
      <c r="E41" t="s">
        <v>102</v>
      </c>
      <c r="F41" t="s">
        <v>100</v>
      </c>
      <c r="G41">
        <v>45</v>
      </c>
      <c r="H41">
        <v>600</v>
      </c>
      <c r="I41">
        <v>25</v>
      </c>
      <c r="J41">
        <f>Table1[[#This Row],[price_per_unit]]*Table1[[#This Row],[quantity]]</f>
        <v>27000</v>
      </c>
      <c r="K41">
        <f>Table1[[#This Row],[Total Sales]]*Table1[[#This Row],[discount_in_percentage]]/100</f>
        <v>6750</v>
      </c>
      <c r="L41">
        <f>Table1[[#This Row],[Total Sales]]-Table1[[#This Row],[Discount amount]]</f>
        <v>20250</v>
      </c>
      <c r="M41" s="2" t="str">
        <f>TEXT(Table1[[#This Row],[date]],"mmmm")</f>
        <v>October</v>
      </c>
    </row>
    <row r="42" spans="1:13" x14ac:dyDescent="0.3">
      <c r="A42" s="1">
        <v>45942</v>
      </c>
      <c r="B42" t="s">
        <v>125</v>
      </c>
      <c r="C42" t="s">
        <v>126</v>
      </c>
      <c r="D42" t="s">
        <v>11</v>
      </c>
      <c r="E42" t="s">
        <v>12</v>
      </c>
      <c r="F42" t="s">
        <v>13</v>
      </c>
      <c r="G42">
        <v>6</v>
      </c>
      <c r="H42">
        <v>52000</v>
      </c>
      <c r="I42">
        <v>8</v>
      </c>
      <c r="J42">
        <f>Table1[[#This Row],[price_per_unit]]*Table1[[#This Row],[quantity]]</f>
        <v>312000</v>
      </c>
      <c r="K42">
        <f>Table1[[#This Row],[Total Sales]]*Table1[[#This Row],[discount_in_percentage]]/100</f>
        <v>24960</v>
      </c>
      <c r="L42">
        <f>Table1[[#This Row],[Total Sales]]-Table1[[#This Row],[Discount amount]]</f>
        <v>287040</v>
      </c>
      <c r="M42" s="2" t="str">
        <f>TEXT(Table1[[#This Row],[date]],"mmmm")</f>
        <v>October</v>
      </c>
    </row>
    <row r="43" spans="1:13" x14ac:dyDescent="0.3">
      <c r="A43" s="1">
        <v>45949</v>
      </c>
      <c r="B43" t="s">
        <v>127</v>
      </c>
      <c r="C43" t="s">
        <v>128</v>
      </c>
      <c r="D43" t="s">
        <v>11</v>
      </c>
      <c r="E43" t="s">
        <v>43</v>
      </c>
      <c r="F43" t="s">
        <v>44</v>
      </c>
      <c r="G43">
        <v>17</v>
      </c>
      <c r="H43">
        <v>14500</v>
      </c>
      <c r="I43">
        <v>10</v>
      </c>
      <c r="J43">
        <f>Table1[[#This Row],[price_per_unit]]*Table1[[#This Row],[quantity]]</f>
        <v>246500</v>
      </c>
      <c r="K43">
        <f>Table1[[#This Row],[Total Sales]]*Table1[[#This Row],[discount_in_percentage]]/100</f>
        <v>24650</v>
      </c>
      <c r="L43">
        <f>Table1[[#This Row],[Total Sales]]-Table1[[#This Row],[Discount amount]]</f>
        <v>221850</v>
      </c>
      <c r="M43" s="2" t="str">
        <f>TEXT(Table1[[#This Row],[date]],"mmmm")</f>
        <v>October</v>
      </c>
    </row>
    <row r="44" spans="1:13" x14ac:dyDescent="0.3">
      <c r="A44" s="1">
        <v>45956</v>
      </c>
      <c r="B44" t="s">
        <v>129</v>
      </c>
      <c r="C44" t="s">
        <v>130</v>
      </c>
      <c r="D44" t="s">
        <v>11</v>
      </c>
      <c r="E44" t="s">
        <v>75</v>
      </c>
      <c r="F44" t="s">
        <v>72</v>
      </c>
      <c r="G44">
        <v>22</v>
      </c>
      <c r="H44">
        <v>2800</v>
      </c>
      <c r="I44">
        <v>12</v>
      </c>
      <c r="J44">
        <f>Table1[[#This Row],[price_per_unit]]*Table1[[#This Row],[quantity]]</f>
        <v>61600</v>
      </c>
      <c r="K44">
        <f>Table1[[#This Row],[Total Sales]]*Table1[[#This Row],[discount_in_percentage]]/100</f>
        <v>7392</v>
      </c>
      <c r="L44">
        <f>Table1[[#This Row],[Total Sales]]-Table1[[#This Row],[Discount amount]]</f>
        <v>54208</v>
      </c>
      <c r="M44" s="2" t="str">
        <f>TEXT(Table1[[#This Row],[date]],"mmmm")</f>
        <v>October</v>
      </c>
    </row>
    <row r="45" spans="1:13" x14ac:dyDescent="0.3">
      <c r="A45" s="1">
        <v>45963</v>
      </c>
      <c r="B45" t="s">
        <v>131</v>
      </c>
      <c r="C45" t="s">
        <v>132</v>
      </c>
      <c r="D45" t="s">
        <v>11</v>
      </c>
      <c r="E45" t="s">
        <v>99</v>
      </c>
      <c r="F45" t="s">
        <v>100</v>
      </c>
      <c r="G45">
        <v>36</v>
      </c>
      <c r="H45">
        <v>1800</v>
      </c>
      <c r="I45">
        <v>15</v>
      </c>
      <c r="J45">
        <f>Table1[[#This Row],[price_per_unit]]*Table1[[#This Row],[quantity]]</f>
        <v>64800</v>
      </c>
      <c r="K45">
        <f>Table1[[#This Row],[Total Sales]]*Table1[[#This Row],[discount_in_percentage]]/100</f>
        <v>9720</v>
      </c>
      <c r="L45">
        <f>Table1[[#This Row],[Total Sales]]-Table1[[#This Row],[Discount amount]]</f>
        <v>55080</v>
      </c>
      <c r="M45" s="2" t="str">
        <f>TEXT(Table1[[#This Row],[date]],"mmmm")</f>
        <v>November</v>
      </c>
    </row>
    <row r="46" spans="1:13" x14ac:dyDescent="0.3">
      <c r="A46" s="1">
        <v>45970</v>
      </c>
      <c r="B46" t="s">
        <v>133</v>
      </c>
      <c r="C46" t="s">
        <v>134</v>
      </c>
      <c r="D46" t="s">
        <v>29</v>
      </c>
      <c r="E46" t="s">
        <v>16</v>
      </c>
      <c r="F46" t="s">
        <v>13</v>
      </c>
      <c r="G46">
        <v>10</v>
      </c>
      <c r="H46">
        <v>8500</v>
      </c>
      <c r="I46">
        <v>18</v>
      </c>
      <c r="J46">
        <f>Table1[[#This Row],[price_per_unit]]*Table1[[#This Row],[quantity]]</f>
        <v>85000</v>
      </c>
      <c r="K46">
        <f>Table1[[#This Row],[Total Sales]]*Table1[[#This Row],[discount_in_percentage]]/100</f>
        <v>15300</v>
      </c>
      <c r="L46">
        <f>Table1[[#This Row],[Total Sales]]-Table1[[#This Row],[Discount amount]]</f>
        <v>69700</v>
      </c>
      <c r="M46" s="2" t="str">
        <f>TEXT(Table1[[#This Row],[date]],"mmmm")</f>
        <v>November</v>
      </c>
    </row>
    <row r="47" spans="1:13" x14ac:dyDescent="0.3">
      <c r="A47" s="1">
        <v>45977</v>
      </c>
      <c r="B47" t="s">
        <v>135</v>
      </c>
      <c r="C47" t="s">
        <v>136</v>
      </c>
      <c r="D47" t="s">
        <v>19</v>
      </c>
      <c r="E47" t="s">
        <v>47</v>
      </c>
      <c r="F47" t="s">
        <v>44</v>
      </c>
      <c r="G47">
        <v>4</v>
      </c>
      <c r="H47">
        <v>32000</v>
      </c>
      <c r="I47">
        <v>10</v>
      </c>
      <c r="J47">
        <f>Table1[[#This Row],[price_per_unit]]*Table1[[#This Row],[quantity]]</f>
        <v>128000</v>
      </c>
      <c r="K47">
        <f>Table1[[#This Row],[Total Sales]]*Table1[[#This Row],[discount_in_percentage]]/100</f>
        <v>12800</v>
      </c>
      <c r="L47">
        <f>Table1[[#This Row],[Total Sales]]-Table1[[#This Row],[Discount amount]]</f>
        <v>115200</v>
      </c>
      <c r="M47" s="2" t="str">
        <f>TEXT(Table1[[#This Row],[date]],"mmmm")</f>
        <v>November</v>
      </c>
    </row>
    <row r="48" spans="1:13" x14ac:dyDescent="0.3">
      <c r="A48" s="1">
        <v>45984</v>
      </c>
      <c r="B48" t="s">
        <v>137</v>
      </c>
      <c r="C48" t="s">
        <v>138</v>
      </c>
      <c r="D48" t="s">
        <v>11</v>
      </c>
      <c r="E48" t="s">
        <v>75</v>
      </c>
      <c r="F48" t="s">
        <v>72</v>
      </c>
      <c r="G48">
        <v>18</v>
      </c>
      <c r="H48">
        <v>2500</v>
      </c>
      <c r="I48">
        <v>12</v>
      </c>
      <c r="J48">
        <f>Table1[[#This Row],[price_per_unit]]*Table1[[#This Row],[quantity]]</f>
        <v>45000</v>
      </c>
      <c r="K48">
        <f>Table1[[#This Row],[Total Sales]]*Table1[[#This Row],[discount_in_percentage]]/100</f>
        <v>5400</v>
      </c>
      <c r="L48">
        <f>Table1[[#This Row],[Total Sales]]-Table1[[#This Row],[Discount amount]]</f>
        <v>39600</v>
      </c>
      <c r="M48" s="2" t="str">
        <f>TEXT(Table1[[#This Row],[date]],"mmmm")</f>
        <v>November</v>
      </c>
    </row>
    <row r="49" spans="1:13" x14ac:dyDescent="0.3">
      <c r="A49" s="1">
        <v>45991</v>
      </c>
      <c r="B49" t="s">
        <v>139</v>
      </c>
      <c r="C49" t="s">
        <v>140</v>
      </c>
      <c r="D49" t="s">
        <v>29</v>
      </c>
      <c r="E49" t="s">
        <v>105</v>
      </c>
      <c r="F49" t="s">
        <v>100</v>
      </c>
      <c r="G49">
        <v>27</v>
      </c>
      <c r="H49">
        <v>1200</v>
      </c>
      <c r="I49">
        <v>20</v>
      </c>
      <c r="J49">
        <f>Table1[[#This Row],[price_per_unit]]*Table1[[#This Row],[quantity]]</f>
        <v>32400</v>
      </c>
      <c r="K49">
        <f>Table1[[#This Row],[Total Sales]]*Table1[[#This Row],[discount_in_percentage]]/100</f>
        <v>6480</v>
      </c>
      <c r="L49">
        <f>Table1[[#This Row],[Total Sales]]-Table1[[#This Row],[Discount amount]]</f>
        <v>25920</v>
      </c>
      <c r="M49" s="2" t="str">
        <f>TEXT(Table1[[#This Row],[date]],"mmmm")</f>
        <v>November</v>
      </c>
    </row>
    <row r="50" spans="1:13" x14ac:dyDescent="0.3">
      <c r="A50" s="1">
        <v>45998</v>
      </c>
      <c r="B50" t="s">
        <v>141</v>
      </c>
      <c r="C50" t="s">
        <v>142</v>
      </c>
      <c r="D50" t="s">
        <v>39</v>
      </c>
      <c r="E50" t="s">
        <v>20</v>
      </c>
      <c r="F50" t="s">
        <v>13</v>
      </c>
      <c r="G50">
        <v>21</v>
      </c>
      <c r="H50">
        <v>2800</v>
      </c>
      <c r="I50">
        <v>15</v>
      </c>
      <c r="J50">
        <f>Table1[[#This Row],[price_per_unit]]*Table1[[#This Row],[quantity]]</f>
        <v>58800</v>
      </c>
      <c r="K50">
        <f>Table1[[#This Row],[Total Sales]]*Table1[[#This Row],[discount_in_percentage]]/100</f>
        <v>8820</v>
      </c>
      <c r="L50">
        <f>Table1[[#This Row],[Total Sales]]-Table1[[#This Row],[Discount amount]]</f>
        <v>49980</v>
      </c>
      <c r="M50" s="2" t="str">
        <f>TEXT(Table1[[#This Row],[date]],"mmmm")</f>
        <v>December</v>
      </c>
    </row>
    <row r="51" spans="1:13" x14ac:dyDescent="0.3">
      <c r="A51" s="1">
        <v>46005</v>
      </c>
      <c r="B51" t="s">
        <v>143</v>
      </c>
      <c r="C51" t="s">
        <v>144</v>
      </c>
      <c r="D51" t="s">
        <v>19</v>
      </c>
      <c r="E51" t="s">
        <v>50</v>
      </c>
      <c r="F51" t="s">
        <v>44</v>
      </c>
      <c r="G51">
        <v>8</v>
      </c>
      <c r="H51">
        <v>15000</v>
      </c>
      <c r="I51">
        <v>10</v>
      </c>
      <c r="J51">
        <f>Table1[[#This Row],[price_per_unit]]*Table1[[#This Row],[quantity]]</f>
        <v>120000</v>
      </c>
      <c r="K51">
        <f>Table1[[#This Row],[Total Sales]]*Table1[[#This Row],[discount_in_percentage]]/100</f>
        <v>12000</v>
      </c>
      <c r="L51">
        <f>Table1[[#This Row],[Total Sales]]-Table1[[#This Row],[Discount amount]]</f>
        <v>108000</v>
      </c>
      <c r="M51" s="2" t="str">
        <f>TEXT(Table1[[#This Row],[date]],"mmmm")</f>
        <v>December</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5"/>
  <sheetViews>
    <sheetView tabSelected="1" zoomScale="53" workbookViewId="0">
      <selection activeCell="X1" sqref="X1:AE45"/>
    </sheetView>
  </sheetViews>
  <sheetFormatPr defaultRowHeight="14.4" x14ac:dyDescent="0.3"/>
  <cols>
    <col min="22" max="22" width="8.88671875" customWidth="1"/>
  </cols>
  <sheetData>
    <row r="1" spans="1:31"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spans="1:31"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spans="1:31"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spans="1:31"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spans="1:31"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spans="1:31"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row>
    <row r="7" spans="1:31"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row>
    <row r="8" spans="1:31"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row>
    <row r="9" spans="1:31"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row>
    <row r="10" spans="1:31"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row>
    <row r="11" spans="1:31"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spans="1:31"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row>
    <row r="13" spans="1:31"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row>
    <row r="14" spans="1:31"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row>
    <row r="15" spans="1:31"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row>
    <row r="16" spans="1:31"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row>
    <row r="17" spans="1:31"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row>
    <row r="18" spans="1:31"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row>
    <row r="19" spans="1:31"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row>
    <row r="20" spans="1:31"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row>
    <row r="21" spans="1:31"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row>
    <row r="22" spans="1:31"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row>
    <row r="23" spans="1:31"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row>
    <row r="24" spans="1:31"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row>
    <row r="25" spans="1:31"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row>
    <row r="26" spans="1:31"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row>
    <row r="27" spans="1:31"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row>
    <row r="28" spans="1:31"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row>
    <row r="29" spans="1:31"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row>
    <row r="30" spans="1:31"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row>
    <row r="31" spans="1:31"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row>
    <row r="32" spans="1:31"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row>
    <row r="33" spans="1:31"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row>
    <row r="34" spans="1:31"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row>
    <row r="35" spans="1:31"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row>
    <row r="36" spans="1:31"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row>
    <row r="37" spans="1:31"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row>
    <row r="38" spans="1:31"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row>
    <row r="39" spans="1:31"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row>
    <row r="40" spans="1:31"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row>
    <row r="41" spans="1:31"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row>
    <row r="42" spans="1:31"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row>
    <row r="43" spans="1:31"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row>
    <row r="44" spans="1:31"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row>
    <row r="45" spans="1:31"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row>
  </sheetData>
  <mergeCells count="2">
    <mergeCell ref="A1:W45"/>
    <mergeCell ref="X1:AE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jagtapsunigdha@gmail.com</cp:lastModifiedBy>
  <dcterms:created xsi:type="dcterms:W3CDTF">2026-06-30T10:44:14Z</dcterms:created>
  <dcterms:modified xsi:type="dcterms:W3CDTF">2026-07-02T02:09:17Z</dcterms:modified>
</cp:coreProperties>
</file>